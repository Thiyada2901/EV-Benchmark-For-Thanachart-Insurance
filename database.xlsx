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tbankth-my.sharepoint.com/personal/noppason_wat_thanachart_co_th/Documents/"/>
    </mc:Choice>
  </mc:AlternateContent>
  <xr:revisionPtr revIDLastSave="0" documentId="8_{F2AE63FE-B971-4C1C-9474-7B61852AAFBF}" xr6:coauthVersionLast="47" xr6:coauthVersionMax="47" xr10:uidLastSave="{00000000-0000-0000-0000-000000000000}"/>
  <bookViews>
    <workbookView xWindow="9510" yWindow="0" windowWidth="9780" windowHeight="10170" xr2:uid="{BF169CCC-0AD5-41D7-A142-A25679E23080}"/>
  </bookViews>
  <sheets>
    <sheet name="update 7 july" sheetId="2" r:id="rId1"/>
  </sheets>
  <definedNames>
    <definedName name="_xlnm._FilterDatabase" localSheetId="0" hidden="1">'update 7 july'!$A$1:$AB$336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5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2" i="2"/>
  <c r="W335" i="2"/>
  <c r="W334" i="2"/>
  <c r="W333" i="2"/>
  <c r="W332" i="2"/>
  <c r="W331" i="2"/>
  <c r="W330" i="2"/>
  <c r="W329" i="2"/>
  <c r="W328" i="2"/>
  <c r="W327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4" i="2"/>
  <c r="W63" i="2"/>
  <c r="W62" i="2"/>
  <c r="W61" i="2"/>
  <c r="W60" i="2"/>
  <c r="W59" i="2"/>
  <c r="W58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</calcChain>
</file>

<file path=xl/sharedStrings.xml><?xml version="1.0" encoding="utf-8"?>
<sst xmlns="http://schemas.openxmlformats.org/spreadsheetml/2006/main" count="4811" uniqueCount="840">
  <si>
    <t>Brand</t>
  </si>
  <si>
    <t>model_name</t>
  </si>
  <si>
    <t>model_name (Original)</t>
  </si>
  <si>
    <t>variant_name</t>
  </si>
  <si>
    <t>B,M,V</t>
  </si>
  <si>
    <t>body_type</t>
  </si>
  <si>
    <t>body_type (original)</t>
  </si>
  <si>
    <t>Type of Electric Vehicle</t>
  </si>
  <si>
    <t>Vehicle Sales Price (in THB)</t>
  </si>
  <si>
    <t>Battery Standard Price</t>
  </si>
  <si>
    <t>Electric Motor Standard Price</t>
  </si>
  <si>
    <t>Charging Mechanism</t>
  </si>
  <si>
    <t>Battery Manufacturer</t>
  </si>
  <si>
    <t>Battery Manufacturer (Original)</t>
  </si>
  <si>
    <t>Battery Energy Density</t>
  </si>
  <si>
    <t>Battery Weight (kg)</t>
  </si>
  <si>
    <t>Battery Capacity(kWh)</t>
  </si>
  <si>
    <t>Rang(WLTP)</t>
  </si>
  <si>
    <t>Rang(NEDC)</t>
  </si>
  <si>
    <t>Battery Cooling System</t>
  </si>
  <si>
    <t xml:space="preserve">Battery Material </t>
  </si>
  <si>
    <t>Battery Material (Original)</t>
  </si>
  <si>
    <t>Power Consumption per 100KM</t>
  </si>
  <si>
    <t>Ground Clearance</t>
  </si>
  <si>
    <t>Electric Motor (Motor power) (kW)</t>
  </si>
  <si>
    <t>Motor Torque</t>
  </si>
  <si>
    <t>Battery Location</t>
  </si>
  <si>
    <t>Vehicle weight</t>
  </si>
  <si>
    <t>ความกว้าง(mm)</t>
  </si>
  <si>
    <t>ความยาว(mm)</t>
  </si>
  <si>
    <t>ความสูง(mm)</t>
  </si>
  <si>
    <t>ระยะฐานล้อ(mm)</t>
  </si>
  <si>
    <t>BYD</t>
  </si>
  <si>
    <t>Atto3</t>
  </si>
  <si>
    <t>Standard Range Dynamic</t>
  </si>
  <si>
    <t>SUV</t>
  </si>
  <si>
    <t>BEV</t>
  </si>
  <si>
    <t>AC Type 2 (7 kW) , DC CCS2 (70 kW)</t>
  </si>
  <si>
    <t>Liquid Cooling</t>
  </si>
  <si>
    <t>LFP</t>
  </si>
  <si>
    <t>Floor-mounted</t>
  </si>
  <si>
    <t>Atto 3</t>
  </si>
  <si>
    <t>Standard Range Premium</t>
  </si>
  <si>
    <t>Extended Range Premium</t>
  </si>
  <si>
    <t>AC Type 2 (7 kW) , DC CCS2 (88 kW)</t>
  </si>
  <si>
    <t>Dolphin</t>
  </si>
  <si>
    <t>Standard Range</t>
  </si>
  <si>
    <t>Hatchback</t>
  </si>
  <si>
    <t>AC Type 2 (7 kW) , DC CCS2 (60 kW)</t>
  </si>
  <si>
    <t>Extended Range</t>
  </si>
  <si>
    <t>AC Type 2 (7 kW) , DC CCS2 (80 kW)</t>
  </si>
  <si>
    <t>Seal</t>
  </si>
  <si>
    <t>Dynamic RWD</t>
  </si>
  <si>
    <t>Sedan</t>
  </si>
  <si>
    <t>AC Type 2 (7 kW) , DC CCS2 (110 kW)</t>
  </si>
  <si>
    <t>Premium RWD</t>
  </si>
  <si>
    <t>AC Type 2 (7 kW) , DC CCS2 (150 kW)</t>
  </si>
  <si>
    <t>AWD Performance</t>
  </si>
  <si>
    <t>M6</t>
  </si>
  <si>
    <t>Dynamic</t>
  </si>
  <si>
    <t>MPV</t>
  </si>
  <si>
    <t>AC Type 2 (7 kW) , DC CCS2 (85 kW)</t>
  </si>
  <si>
    <t>Extended</t>
  </si>
  <si>
    <t>AC Type 2 (7 kW) , DC CCS2 (115 kW)</t>
  </si>
  <si>
    <t>Sealion7</t>
  </si>
  <si>
    <t>SUV Coupe</t>
  </si>
  <si>
    <t>AC Type 2 (11 kW), DC CCS2 (150 kW)</t>
  </si>
  <si>
    <t>Performance AWD</t>
  </si>
  <si>
    <t>AC Type 2 (11 kW),  DC CCS2 (150 kW)</t>
  </si>
  <si>
    <t>Atto1</t>
  </si>
  <si>
    <t>AC Type 2 (6.6 kW), DC CCS2 (30 kW)</t>
  </si>
  <si>
    <t>Atto 1</t>
  </si>
  <si>
    <t>Premium</t>
  </si>
  <si>
    <t>AC Type 2 (6.6 kW), DC CCS2 (40 kW)</t>
  </si>
  <si>
    <t>Atto2</t>
  </si>
  <si>
    <t>AC Type 2 (7 kW) , DC CCS2 (82 kW)</t>
  </si>
  <si>
    <t>Atto 2</t>
  </si>
  <si>
    <t>Seal 6</t>
  </si>
  <si>
    <t>AC Type 2 (7 kW) , DC CCS2 (100 kW)</t>
  </si>
  <si>
    <t>Seal6</t>
  </si>
  <si>
    <t>Denza</t>
  </si>
  <si>
    <t>D9</t>
  </si>
  <si>
    <t>Premium (FWD)</t>
  </si>
  <si>
    <t>AC Type 2 (11 kW), DC CCS2 (166 kW)</t>
  </si>
  <si>
    <t>Liquid Cooling + Heat Pump</t>
  </si>
  <si>
    <t xml:space="preserve">LFP </t>
  </si>
  <si>
    <t>MG</t>
  </si>
  <si>
    <t>EP(2020)</t>
  </si>
  <si>
    <t>Standard</t>
  </si>
  <si>
    <t>Wagon / Estate</t>
  </si>
  <si>
    <t>AC Type 2 (6.6 kW), DC CCS2 (75 kW)</t>
  </si>
  <si>
    <t>CATL</t>
  </si>
  <si>
    <t>NMC</t>
  </si>
  <si>
    <t xml:space="preserve">EP </t>
  </si>
  <si>
    <t xml:space="preserve">ES </t>
  </si>
  <si>
    <t>AC Type 2 (6.6 kW), DC CCS2 (51 kW)</t>
  </si>
  <si>
    <t>ZS</t>
  </si>
  <si>
    <t>D</t>
  </si>
  <si>
    <t>AC Type 2 (6.6 kW), DC CCS2 (87 kW)</t>
  </si>
  <si>
    <t>X</t>
  </si>
  <si>
    <t>AC Type 2 (6.6 kW), DC CCS2 (76 kW)</t>
  </si>
  <si>
    <t>100TH SE</t>
  </si>
  <si>
    <t>4 EV</t>
  </si>
  <si>
    <t>MG 4 Electric</t>
  </si>
  <si>
    <t>D Standard Range</t>
  </si>
  <si>
    <t>AC Type 2 (6.6 kW), DC CCS2 (88 kW)</t>
  </si>
  <si>
    <t>REPT</t>
  </si>
  <si>
    <t>RePT</t>
  </si>
  <si>
    <t>X Long Range</t>
  </si>
  <si>
    <t>AC Type 2 (6.6 kW), DC CCS2 (140 kW)</t>
  </si>
  <si>
    <t>XPower</t>
  </si>
  <si>
    <t>D Long Range</t>
  </si>
  <si>
    <t>AC Type 2 (7 kW) , DC CCS2 (140 kW)</t>
  </si>
  <si>
    <t>S5</t>
  </si>
  <si>
    <t>S5 EV</t>
  </si>
  <si>
    <t>D+</t>
  </si>
  <si>
    <t>X+</t>
  </si>
  <si>
    <t>V+</t>
  </si>
  <si>
    <t>Urban</t>
  </si>
  <si>
    <t>Urban EV</t>
  </si>
  <si>
    <t>AC Type 2 (6.6 kW), DC CCS2 (82 kW)</t>
  </si>
  <si>
    <t>Max</t>
  </si>
  <si>
    <t>ultra</t>
  </si>
  <si>
    <t>IM5</t>
  </si>
  <si>
    <t>Premium Long Range</t>
  </si>
  <si>
    <t>AC Type 2 (11 kW) , DC CCS2 (396 kW)</t>
  </si>
  <si>
    <t>IM6</t>
  </si>
  <si>
    <t>IM6 EV</t>
  </si>
  <si>
    <t>400V,AC Type 2 (11kW) , DC CCS2 (250kW)</t>
  </si>
  <si>
    <t>800V,AC Type 2 (11kW) , DC CCS2 (250kW)</t>
  </si>
  <si>
    <t>Performance</t>
  </si>
  <si>
    <t>200 (หน้า) + 372 (หลัง)</t>
  </si>
  <si>
    <t>302 (หน้า) + 500 (หลัง)</t>
  </si>
  <si>
    <t>Cyberster</t>
  </si>
  <si>
    <t>Convertible Roadster</t>
  </si>
  <si>
    <t>400V, AC Type 2 (11kW) ,DC CCS2 (150kW)</t>
  </si>
  <si>
    <t xml:space="preserve">MAXUS 7 </t>
  </si>
  <si>
    <t>MAXUS 7 EV</t>
  </si>
  <si>
    <t>Model X</t>
  </si>
  <si>
    <t>AC Type 2 (11 kW), DC CCS2 (80 kW)</t>
  </si>
  <si>
    <t>Maxus 9</t>
  </si>
  <si>
    <t>V PLUS</t>
  </si>
  <si>
    <t>AC Type 2 (11 kW), DC CCS2 (90 kW)</t>
  </si>
  <si>
    <t>AION</t>
  </si>
  <si>
    <t>V</t>
  </si>
  <si>
    <t>V EV</t>
  </si>
  <si>
    <t>500 Premium</t>
  </si>
  <si>
    <t>AC Type 2 (6.6 kW), DC CCS2 (150 kW)</t>
  </si>
  <si>
    <t>GAC AION (Magazine Battery 2.0)</t>
  </si>
  <si>
    <t>602 Luxury</t>
  </si>
  <si>
    <t>AC Type 2 (6.6 kW), DC CCS2 (180 kW)</t>
  </si>
  <si>
    <t>Y PLUS</t>
  </si>
  <si>
    <t>490 Elite</t>
  </si>
  <si>
    <t>AC Type 2 (6.6 kW), DC CCS2 (80 kW)</t>
  </si>
  <si>
    <t>Y Plus</t>
  </si>
  <si>
    <t>490 Premium</t>
  </si>
  <si>
    <t>550 Ultra</t>
  </si>
  <si>
    <t>ES</t>
  </si>
  <si>
    <t>UT</t>
  </si>
  <si>
    <t>UT EV</t>
  </si>
  <si>
    <t>420 Standard</t>
  </si>
  <si>
    <t>AC Type 2 (6.6 kW), DC CCS2 (70 kW)</t>
  </si>
  <si>
    <t>HT</t>
  </si>
  <si>
    <t>HYPER HT</t>
  </si>
  <si>
    <t>620 Premium</t>
  </si>
  <si>
    <t>AC Type 2 (6.6 kW)</t>
  </si>
  <si>
    <t>620 Luxury Gull-Wing</t>
  </si>
  <si>
    <t>ORA</t>
  </si>
  <si>
    <t>Good Cat</t>
  </si>
  <si>
    <t>Good Cat EV</t>
  </si>
  <si>
    <t>400 Pro (Standard Range)</t>
  </si>
  <si>
    <t>Hatchback EV</t>
  </si>
  <si>
    <t>AC Type 2 (6.6 kW), DC CCS2 (60 kW)</t>
  </si>
  <si>
    <t>SVOLT</t>
  </si>
  <si>
    <t>500 Ultra (Long Range)</t>
  </si>
  <si>
    <t>GT</t>
  </si>
  <si>
    <t>ORA 07-EV</t>
  </si>
  <si>
    <t>Long Range</t>
  </si>
  <si>
    <t>Fastback EV</t>
  </si>
  <si>
    <t>AC Type 2 (11 kW), DC CCS2 (88 kW)</t>
  </si>
  <si>
    <t>ORA 05-EV</t>
  </si>
  <si>
    <t>Pro</t>
  </si>
  <si>
    <t>SUV EV</t>
  </si>
  <si>
    <t>AC Type 2 (6.6 kW), DC CCS2 (120 kW)</t>
  </si>
  <si>
    <t>Ultra</t>
  </si>
  <si>
    <t>NETA</t>
  </si>
  <si>
    <t>City EV Hatchback</t>
  </si>
  <si>
    <t>AC Type 2 (6.6 kW), DC CCS2 (45 kW)</t>
  </si>
  <si>
    <t xml:space="preserve">CATL </t>
  </si>
  <si>
    <t>V-II</t>
  </si>
  <si>
    <t>LITE</t>
  </si>
  <si>
    <t>SMART</t>
  </si>
  <si>
    <t>Comfort</t>
  </si>
  <si>
    <t>Compact SUV</t>
  </si>
  <si>
    <t>AC Type 2 (6.6 kW), DC CCS2 (65 kW)</t>
  </si>
  <si>
    <t>Smart</t>
  </si>
  <si>
    <t>AC Type 2 (6.6 kW), DC CCS2 (100 kW)</t>
  </si>
  <si>
    <t>Deepal</t>
  </si>
  <si>
    <t>L07</t>
  </si>
  <si>
    <t>L07-EV</t>
  </si>
  <si>
    <t>Electric Sedan</t>
  </si>
  <si>
    <t>AC Type 2 (6.6 kW), DC CCS2 (167 kW)</t>
  </si>
  <si>
    <t>S</t>
  </si>
  <si>
    <t>Extended Range (REEV)</t>
  </si>
  <si>
    <t>REEV</t>
  </si>
  <si>
    <t>S07</t>
  </si>
  <si>
    <t>S07-EV</t>
  </si>
  <si>
    <t>S7</t>
  </si>
  <si>
    <t>Mid-size SUV</t>
  </si>
  <si>
    <t>S7 L (Long Range)</t>
  </si>
  <si>
    <t>S05</t>
  </si>
  <si>
    <t>Lite</t>
  </si>
  <si>
    <t>AC Type 2 (7 kW), DC CCS2 (151.5 kW)</t>
  </si>
  <si>
    <t>Plus</t>
  </si>
  <si>
    <t>Max Long Range</t>
  </si>
  <si>
    <t>AC Type 2 (7 kW), DC CCS2 (200 kW)</t>
  </si>
  <si>
    <t>S05 (REEV)</t>
  </si>
  <si>
    <t>AC Type 2 (7 kW), DC CCS2 (54.5 kW)</t>
  </si>
  <si>
    <t>E07</t>
  </si>
  <si>
    <t>SUV–Pickup Crossover</t>
  </si>
  <si>
    <t>AC Type 2 (6.6 kW), DC CCS2 (240 kW)</t>
  </si>
  <si>
    <t>BEV AWD</t>
  </si>
  <si>
    <t>Hunter K50</t>
  </si>
  <si>
    <t>REEV PLUS AWD</t>
  </si>
  <si>
    <t>Pickup</t>
  </si>
  <si>
    <t>Electric Pickup Truck</t>
  </si>
  <si>
    <t>AC Type 2 (6.6 kW), DC CCS2 (41 kW)</t>
  </si>
  <si>
    <t>REEV MAX AWD</t>
  </si>
  <si>
    <t>Nevo</t>
  </si>
  <si>
    <t>Q05</t>
  </si>
  <si>
    <t>B-SUV</t>
  </si>
  <si>
    <t>AC Type 2 (6.6 kW), DC CCS2 (162 kW)</t>
  </si>
  <si>
    <t>Changan</t>
  </si>
  <si>
    <t>Lumin</t>
  </si>
  <si>
    <t>L</t>
  </si>
  <si>
    <t>AC Type 2 (3.3 kW)</t>
  </si>
  <si>
    <t>L DC</t>
  </si>
  <si>
    <t>AC Type 2 (3.3 kW), DC CCS2 (50 kW)</t>
  </si>
  <si>
    <t>XPENG</t>
  </si>
  <si>
    <t>G6</t>
  </si>
  <si>
    <t>G6 EV</t>
  </si>
  <si>
    <t>Standard Range RWD</t>
  </si>
  <si>
    <t>AC Type 2 (11 kW), DC CCS2 (382 kW)</t>
  </si>
  <si>
    <t>Floor Mounted</t>
  </si>
  <si>
    <t>Long Range RWD</t>
  </si>
  <si>
    <t>AC Type 2 (11 kW), DC CCS2 (451 kW)</t>
  </si>
  <si>
    <t>X9</t>
  </si>
  <si>
    <t>Premium 7-Seater</t>
  </si>
  <si>
    <t>AC Type 2 (11 kW), DC CCS2 (537 kW)</t>
  </si>
  <si>
    <t>X9 EV</t>
  </si>
  <si>
    <t>Executive 7-Seater</t>
  </si>
  <si>
    <t>AC Type 2 (11 kW), DC CCS2 (542 kW)</t>
  </si>
  <si>
    <t>Luxury AWD 7-Seater</t>
  </si>
  <si>
    <t>ZEEKR</t>
  </si>
  <si>
    <t>X EV</t>
  </si>
  <si>
    <t>Standard RWD</t>
  </si>
  <si>
    <t>AC Type 2 (11 kW)</t>
  </si>
  <si>
    <t>Flagship AWD</t>
  </si>
  <si>
    <t>AC Type 2 (22 kW)</t>
  </si>
  <si>
    <t>9 EV</t>
  </si>
  <si>
    <t>7-Seater Standard FWD</t>
  </si>
  <si>
    <t>AC Type 2 (11 kW), DC CCS2 (205 kW)</t>
  </si>
  <si>
    <t>7-Seater Premium AWD</t>
  </si>
  <si>
    <t>6-Seater Flagship AWD</t>
  </si>
  <si>
    <t>7X</t>
  </si>
  <si>
    <t>7X EV</t>
  </si>
  <si>
    <t>AVATR</t>
  </si>
  <si>
    <t>AC Type 2 (11 kW), DC CCS2 (240 kW)</t>
  </si>
  <si>
    <t>11 EV</t>
  </si>
  <si>
    <t>Long Range AWD</t>
  </si>
  <si>
    <t>165 (หน้า) + 230 (หลัง)</t>
  </si>
  <si>
    <t>Royal Edition</t>
  </si>
  <si>
    <t>166 (หน้า) + 230 (หลัง)</t>
  </si>
  <si>
    <t>7 EV</t>
  </si>
  <si>
    <t>AC Type 2 (6.6 kW), DC CCS2 (420 kW)</t>
  </si>
  <si>
    <t>Ultra AWD</t>
  </si>
  <si>
    <t>Geely</t>
  </si>
  <si>
    <t>EX2</t>
  </si>
  <si>
    <t>EX 5</t>
  </si>
  <si>
    <t>AC Type 2 (11 kW), DC CCS2 (100 kW)</t>
  </si>
  <si>
    <t>Geely VREMT (Aegis Short Blade LFP)</t>
  </si>
  <si>
    <t>EX5</t>
  </si>
  <si>
    <t>Max+</t>
  </si>
  <si>
    <t>Leapmotor</t>
  </si>
  <si>
    <t>C10</t>
  </si>
  <si>
    <t>Design</t>
  </si>
  <si>
    <t>AC Type 2 (6.6 kW), DC CCS2 (84 kW)</t>
  </si>
  <si>
    <t>CALB (China Aviation Lithium Battery)</t>
  </si>
  <si>
    <t>Style (Limited)</t>
  </si>
  <si>
    <t>B10</t>
  </si>
  <si>
    <t>Life</t>
  </si>
  <si>
    <t>AC Type 2 (11 kW), DC CCS2 (140 kW)</t>
  </si>
  <si>
    <t>Style</t>
  </si>
  <si>
    <t>AC Type 2 (11 kW), DC CCS2 (168 kW)</t>
  </si>
  <si>
    <t>OMODA</t>
  </si>
  <si>
    <t>C5</t>
  </si>
  <si>
    <t>C5 EV</t>
  </si>
  <si>
    <t>Long Range Plus</t>
  </si>
  <si>
    <t>AC Type 2 (6.6 kW), DC CCS2 (110 kW)</t>
  </si>
  <si>
    <t>Long Range Ultimate</t>
  </si>
  <si>
    <t>Long Range Dynamic</t>
  </si>
  <si>
    <t>Long Range Max</t>
  </si>
  <si>
    <t>Max +</t>
  </si>
  <si>
    <t>JAECOO</t>
  </si>
  <si>
    <t>5 EV</t>
  </si>
  <si>
    <t>AC Type 2 (6.6 kW), DC CCS2 (130 kW)</t>
  </si>
  <si>
    <t>Liquid cooling</t>
  </si>
  <si>
    <t>6 EV</t>
  </si>
  <si>
    <t>Long Range 2WD Max</t>
  </si>
  <si>
    <t>Long Range 4WD</t>
  </si>
  <si>
    <t>6T</t>
  </si>
  <si>
    <t>6T EV</t>
  </si>
  <si>
    <t>AC Type 2 (6.6 kW), DC CCS2 (85 kW)</t>
  </si>
  <si>
    <t>CHERY</t>
  </si>
  <si>
    <t>V23</t>
  </si>
  <si>
    <t>Play 2WD</t>
  </si>
  <si>
    <t>401(CLTC)</t>
  </si>
  <si>
    <t>Plus 2WD</t>
  </si>
  <si>
    <t>Peak 4WD</t>
  </si>
  <si>
    <t>AC Type 2 (6.6 kW), DC CCS2 (104 kW)</t>
  </si>
  <si>
    <t>501(CLTC)</t>
  </si>
  <si>
    <t>Q</t>
  </si>
  <si>
    <t>Qlick</t>
  </si>
  <si>
    <t>Qool</t>
  </si>
  <si>
    <t>Quint</t>
  </si>
  <si>
    <t>Wuling</t>
  </si>
  <si>
    <t>Air EV</t>
  </si>
  <si>
    <t>Hatchback (Micro EV)</t>
  </si>
  <si>
    <t>AC Type 2 (2.0 kW)</t>
  </si>
  <si>
    <t>Gotion High-Tech (LFP)</t>
  </si>
  <si>
    <t>(CLTC)</t>
  </si>
  <si>
    <t>Binguo EV</t>
  </si>
  <si>
    <t>AC Type 2 (6.6 kW), DC CCS2 (50 kW)</t>
  </si>
  <si>
    <t>SAIC-GM-Wuling</t>
  </si>
  <si>
    <t>Darion EV</t>
  </si>
  <si>
    <t>MPV (7 Seats)</t>
  </si>
  <si>
    <t>Porta EV</t>
  </si>
  <si>
    <t>Premium Rang</t>
  </si>
  <si>
    <t>Van</t>
  </si>
  <si>
    <t>Cargo Van</t>
  </si>
  <si>
    <t>FORTHING</t>
  </si>
  <si>
    <t>Friday</t>
  </si>
  <si>
    <t>EV Luxury</t>
  </si>
  <si>
    <t>EV Exclusive</t>
  </si>
  <si>
    <t>Farizon</t>
  </si>
  <si>
    <t>EV Cargo</t>
  </si>
  <si>
    <t>C5M</t>
  </si>
  <si>
    <t>NA</t>
  </si>
  <si>
    <t>C6M</t>
  </si>
  <si>
    <t>C6H</t>
  </si>
  <si>
    <t>High Roof Cargo Van</t>
  </si>
  <si>
    <t>EV Passenger</t>
  </si>
  <si>
    <t>P5M</t>
  </si>
  <si>
    <t>Passenger Van</t>
  </si>
  <si>
    <t>P6M</t>
  </si>
  <si>
    <t>P6H</t>
  </si>
  <si>
    <t>High Roof Passenger Van</t>
  </si>
  <si>
    <t>EV MPV</t>
  </si>
  <si>
    <t>Luxury</t>
  </si>
  <si>
    <t>EV Ambulance</t>
  </si>
  <si>
    <t>A5M</t>
  </si>
  <si>
    <t>Ambulance</t>
  </si>
  <si>
    <t>A6M</t>
  </si>
  <si>
    <t>High Roof Ambulance</t>
  </si>
  <si>
    <t>NISSAN</t>
  </si>
  <si>
    <t>LEAF</t>
  </si>
  <si>
    <t>2018 - 2022 (2021)</t>
  </si>
  <si>
    <t>250,000 – 350,000</t>
  </si>
  <si>
    <t>200,000 – 300,000+</t>
  </si>
  <si>
    <t>AC Type 1 (6.6 kW), DC (50 kW)</t>
  </si>
  <si>
    <t>Envision AESC</t>
  </si>
  <si>
    <t>Passive Air Cooling</t>
  </si>
  <si>
    <t>LIB</t>
  </si>
  <si>
    <t>AC Type 2 (6.6 kW), DC (46 kW)</t>
  </si>
  <si>
    <t>TOYOTA</t>
  </si>
  <si>
    <t>BZ4X</t>
  </si>
  <si>
    <t>FWD</t>
  </si>
  <si>
    <t>Crossover SUV</t>
  </si>
  <si>
    <t>AC Type 2 (22 kW), DC CCS2 (150 kW)</t>
  </si>
  <si>
    <t>PPES</t>
  </si>
  <si>
    <t>Liquid Cooling System</t>
  </si>
  <si>
    <t>bZ4X</t>
  </si>
  <si>
    <t>AWD</t>
  </si>
  <si>
    <t>PPES/CATL</t>
  </si>
  <si>
    <t>LEXUS</t>
  </si>
  <si>
    <t xml:space="preserve">RZ </t>
  </si>
  <si>
    <t>RZ 350E</t>
  </si>
  <si>
    <t>350e Grand Luxury</t>
  </si>
  <si>
    <t xml:space="preserve"> AC Type 2 (22 kW) ,DC CCS (150kW)</t>
  </si>
  <si>
    <t>Liquid Cooled</t>
  </si>
  <si>
    <t>450e  Luxury</t>
  </si>
  <si>
    <t xml:space="preserve">AC Type 2 ( 11 kW ), DC CCS Combo (150 kW) </t>
  </si>
  <si>
    <t>450e Premium</t>
  </si>
  <si>
    <t>500e Premium AWD</t>
  </si>
  <si>
    <t> 269</t>
  </si>
  <si>
    <t>500e Premium AWD (Steer-by-Wire)</t>
  </si>
  <si>
    <t>UX 300E</t>
  </si>
  <si>
    <t>AC Type 2 (6.6 kW), DC CHAdeMO (50 kW)</t>
  </si>
  <si>
    <t>Panasonic</t>
  </si>
  <si>
    <t>Air-cooled System</t>
  </si>
  <si>
    <t>HONDA</t>
  </si>
  <si>
    <t>E:N1</t>
  </si>
  <si>
    <t xml:space="preserve"> </t>
  </si>
  <si>
    <t>AC Type 2 (7 kW), DC CCS2 (78 kW)</t>
  </si>
  <si>
    <t>E:N2</t>
  </si>
  <si>
    <t>AC Type 2 (6.6 kW), DC CCS2 (78 kW)</t>
  </si>
  <si>
    <t>N/A</t>
  </si>
  <si>
    <t>Mazda</t>
  </si>
  <si>
    <t>Mazda6e</t>
  </si>
  <si>
    <t>AC Type 2 (11 kW) , DC CCS2 (194 kW)</t>
  </si>
  <si>
    <t>Exclusive</t>
  </si>
  <si>
    <t>HYUNDAI</t>
  </si>
  <si>
    <t xml:space="preserve">IONIQ </t>
  </si>
  <si>
    <t>IONIQ EV</t>
  </si>
  <si>
    <t>AC Type 2 (ุ6.6 kW), DC CCS2 (50 kW)</t>
  </si>
  <si>
    <t>LG Energy Solution</t>
  </si>
  <si>
    <t>Air Cooled</t>
  </si>
  <si>
    <t>IONIQ 5</t>
  </si>
  <si>
    <t xml:space="preserve">Premium </t>
  </si>
  <si>
    <t>AC Type 2 (10.5 kW), DC CCS2 (350 kW)</t>
  </si>
  <si>
    <t>SK On</t>
  </si>
  <si>
    <t>Hyundai IONIQ 5</t>
  </si>
  <si>
    <t>Exclusive (Long Range)</t>
  </si>
  <si>
    <t xml:space="preserve"> 481 </t>
  </si>
  <si>
    <t>5 N Line (Minorchange)</t>
  </si>
  <si>
    <t>AC Type 2 (11 kW) / DC CCS2 Combo (350 kW)</t>
  </si>
  <si>
    <t>First Edition</t>
  </si>
  <si>
    <t>AC (10.5 kW) / DC (350 kW)</t>
  </si>
  <si>
    <t> 160</t>
  </si>
  <si>
    <t>N โหมดปกติ</t>
  </si>
  <si>
    <t>AC Type 2 (10.5 kW) / DC CC2 Combo (350 kW)</t>
  </si>
  <si>
    <t>Liquid-cooled with N Battery Preconditioning</t>
  </si>
  <si>
    <t>IONIQ 6</t>
  </si>
  <si>
    <t xml:space="preserve">Exclusive </t>
  </si>
  <si>
    <t>AC Type 2 (10.5 kW) / DC CCS2 Combo (350 kW)</t>
  </si>
  <si>
    <t>KONA ELECTRIC</t>
  </si>
  <si>
    <t>N Line</t>
  </si>
  <si>
    <t>AC Type 2 (10.5 kW) / DC CCS2 Combo (100 kW)</t>
  </si>
  <si>
    <t>KIA</t>
  </si>
  <si>
    <t>EV5</t>
  </si>
  <si>
    <t>Light</t>
  </si>
  <si>
    <t>AC (7 kW) Single-phase, DC (102 kW)</t>
  </si>
  <si>
    <t>BYD (FinDreams)</t>
  </si>
  <si>
    <t>The Kia EV5</t>
  </si>
  <si>
    <t>Air</t>
  </si>
  <si>
    <t>The Kia Ev5</t>
  </si>
  <si>
    <t> Earth Long Range </t>
  </si>
  <si>
    <t>AC (7 kW) Single-phase/ (11 kW) Three-phase, DC (141 kW)</t>
  </si>
  <si>
    <t>Earth Exclusive AWD</t>
  </si>
  <si>
    <t> 1,799,000 </t>
  </si>
  <si>
    <t>GT-Line AWD</t>
  </si>
  <si>
    <t> 1,899,000</t>
  </si>
  <si>
    <t>EV6</t>
  </si>
  <si>
    <t>Compact Crossover SUV</t>
  </si>
  <si>
    <t> </t>
  </si>
  <si>
    <t>AC (11 kW), DC (180 kW)</t>
  </si>
  <si>
    <t>EV9</t>
  </si>
  <si>
    <t>Earth Long Range</t>
  </si>
  <si>
    <t>Full-size SUV</t>
  </si>
  <si>
    <t>AC Type 2 (7 kW) Single-phase / (10.5) kW Three-phase / DC CCS Type 2 (350 kW)</t>
  </si>
  <si>
    <t>The Kia EV9</t>
  </si>
  <si>
    <t>SOUL EV</t>
  </si>
  <si>
    <t>Subcompact Crossover SUV</t>
  </si>
  <si>
    <t>AD Type 2 (11 kW), DC CCS (100 kW)</t>
  </si>
  <si>
    <t>NCM</t>
  </si>
  <si>
    <t>VOLVO</t>
  </si>
  <si>
    <t>EX30</t>
  </si>
  <si>
    <t>Volvo EX30</t>
  </si>
  <si>
    <t>Ultra Twin Performance Cross Country</t>
  </si>
  <si>
    <t>DC Fast Charge (153 kW)</t>
  </si>
  <si>
    <t>Sunwoda</t>
  </si>
  <si>
    <t>EX 30 EV-TWIN MOTOR</t>
  </si>
  <si>
    <t>Ultra Twin Motor Performance</t>
  </si>
  <si>
    <t>Ultra Single Motor Extended Range</t>
  </si>
  <si>
    <t>AC (11 kW),  DC (153 kW)</t>
  </si>
  <si>
    <t>VREMT</t>
  </si>
  <si>
    <t>343 </t>
  </si>
  <si>
    <t>Core Single Motor Extended Range</t>
  </si>
  <si>
    <t>AC phase 1 (7.4 kW),  DC (153 kW)</t>
  </si>
  <si>
    <t>EX40</t>
  </si>
  <si>
    <t>EX40 TWIN MOTOR</t>
  </si>
  <si>
    <t>Twin Motor Black Edition </t>
  </si>
  <si>
    <t>EX 40 SINGLE MOTOR</t>
  </si>
  <si>
    <t>Ultra – Single Motor</t>
  </si>
  <si>
    <t>DC Fast Charge (200 kW)</t>
  </si>
  <si>
    <t>420 </t>
  </si>
  <si>
    <t>EC40</t>
  </si>
  <si>
    <t>EC40 Ultra – Twin Motor</t>
  </si>
  <si>
    <t>Ultra – Twin Motor</t>
  </si>
  <si>
    <t>Crossover Coupe SUV</t>
  </si>
  <si>
    <t>AC (11 kW), DC Fast Charge (200 kW)</t>
  </si>
  <si>
    <t>82 </t>
  </si>
  <si>
    <t>670 </t>
  </si>
  <si>
    <t>Volvo EC40</t>
  </si>
  <si>
    <t> Ultra - Twin Motor Black Edition</t>
  </si>
  <si>
    <t>EC40 Ultra – Single Motor</t>
  </si>
  <si>
    <t>ES 90</t>
  </si>
  <si>
    <t>ES 90 EV-SINGLE MOTOR</t>
  </si>
  <si>
    <t>Premium Large Sedan</t>
  </si>
  <si>
    <t>AC (11 kW), DC Fast Charge ( 300 kW)</t>
  </si>
  <si>
    <t>EX90</t>
  </si>
  <si>
    <t>Volvo EX90</t>
  </si>
  <si>
    <t>Ultra – Twin Performance 7 Seats</t>
  </si>
  <si>
    <t>AC (11 kW),  DC Fast Charging (250 kW)</t>
  </si>
  <si>
    <t> 910</t>
  </si>
  <si>
    <t>Ultra – Twin Performance 6 Seats</t>
  </si>
  <si>
    <t>EX 90 EV-TWIN MOTOR</t>
  </si>
  <si>
    <t>Plus - Twin Motor 7 Seats</t>
  </si>
  <si>
    <t>4,290,000 </t>
  </si>
  <si>
    <t> 770 </t>
  </si>
  <si>
    <t>B.M.W.</t>
  </si>
  <si>
    <t>IX XDRIVE 40</t>
  </si>
  <si>
    <t>xDrive 40</t>
  </si>
  <si>
    <t>AC (11 kW),  DC (150 kW)</t>
  </si>
  <si>
    <t>CATL/Samsung SDI</t>
  </si>
  <si>
    <t>375 – 425</t>
  </si>
  <si>
    <t>IX XDRIVE50</t>
  </si>
  <si>
    <t>xDrive 50 Sport</t>
  </si>
  <si>
    <t>AC (11 kW),  DC (195 kW)</t>
  </si>
  <si>
    <t>Samsung SDI</t>
  </si>
  <si>
    <t>549 – 630</t>
  </si>
  <si>
    <t>570 </t>
  </si>
  <si>
    <t>IX1 L</t>
  </si>
  <si>
    <t>eDrive20L M Sport</t>
  </si>
  <si>
    <t>2,499,000 </t>
  </si>
  <si>
    <t>AC (11 kW),  DC Fast Charging (130 kW)</t>
  </si>
  <si>
    <t>433 (402 - 433)</t>
  </si>
  <si>
    <t> 250</t>
  </si>
  <si>
    <t>IX2</t>
  </si>
  <si>
    <t>xDrive30 M Sport</t>
  </si>
  <si>
    <t xml:space="preserve">Compact Crossover Coupe SUV </t>
  </si>
  <si>
    <t>417- 449</t>
  </si>
  <si>
    <t xml:space="preserve">I3 </t>
  </si>
  <si>
    <t>I3 EV</t>
  </si>
  <si>
    <t>xDrive Sedan</t>
  </si>
  <si>
    <t>DC (400 kW)</t>
  </si>
  <si>
    <t>950 - 1,000</t>
  </si>
  <si>
    <t>345 </t>
  </si>
  <si>
    <t xml:space="preserve">IX3 </t>
  </si>
  <si>
    <t>50 xDrive M Sport</t>
  </si>
  <si>
    <t>AC (11-22 kW), DC (400 kW)</t>
  </si>
  <si>
    <t>678–805</t>
  </si>
  <si>
    <t>795 - 940</t>
  </si>
  <si>
    <t>IX</t>
  </si>
  <si>
    <t>IX EV</t>
  </si>
  <si>
    <t>xDrive45 M Sport</t>
  </si>
  <si>
    <t>Mid-size Luxury Crossover SUV</t>
  </si>
  <si>
    <t>AC (22 kW), DC (175 kW)</t>
  </si>
  <si>
    <t>490 - 602</t>
  </si>
  <si>
    <t>I4</t>
  </si>
  <si>
    <t>I4 EV</t>
  </si>
  <si>
    <t>eDrive35 M Sport</t>
  </si>
  <si>
    <t>Liftback</t>
  </si>
  <si>
    <t>Gran Coupé</t>
  </si>
  <si>
    <t>AC (11 kW),  DC (180 kW)</t>
  </si>
  <si>
    <t>eDrive40 M Sport</t>
  </si>
  <si>
    <t>AC (11 kW),  DC (205 kW)</t>
  </si>
  <si>
    <t>M50</t>
  </si>
  <si>
    <t>I5</t>
  </si>
  <si>
    <t>AC (22 kW),  DC (205 kW)</t>
  </si>
  <si>
    <t>497 - 582</t>
  </si>
  <si>
    <t>I5 EV</t>
  </si>
  <si>
    <t>M60 xDrive</t>
  </si>
  <si>
    <t>455 - 516</t>
  </si>
  <si>
    <t>Touring eDrive40 M Sport </t>
  </si>
  <si>
    <t>Touring</t>
  </si>
  <si>
    <t>CATL / BMW Group</t>
  </si>
  <si>
    <t>Touring eDrive40 M Sport PRO </t>
  </si>
  <si>
    <t>I7</t>
  </si>
  <si>
    <t>eDrive50</t>
  </si>
  <si>
    <t>Premium Full-size Luxury Sedan</t>
  </si>
  <si>
    <t>AC (22 kW),  DC (195 kW)</t>
  </si>
  <si>
    <t>CATL / Samsung SDI</t>
  </si>
  <si>
    <t>xDrive60</t>
  </si>
  <si>
    <t>591 - 625</t>
  </si>
  <si>
    <t>I7 EV</t>
  </si>
  <si>
    <t>M70 xDrive</t>
  </si>
  <si>
    <t>MERCEDES BENZ</t>
  </si>
  <si>
    <t>EQB</t>
  </si>
  <si>
    <t>250 AMG Line</t>
  </si>
  <si>
    <t xml:space="preserve"> AC Type 2 (11 kW) ,DC CCS (100 kW)</t>
  </si>
  <si>
    <t> 66.5</t>
  </si>
  <si>
    <t> 385</t>
  </si>
  <si>
    <t>CLA EV</t>
  </si>
  <si>
    <t>250+ with EQ Technology</t>
  </si>
  <si>
    <t>Premium Compact 4-door Coupe</t>
  </si>
  <si>
    <t>AC (22 kW), DC (320 kW)</t>
  </si>
  <si>
    <t xml:space="preserve">EQE </t>
  </si>
  <si>
    <t xml:space="preserve">EQE 300 </t>
  </si>
  <si>
    <t>Premium Executive Sedan</t>
  </si>
  <si>
    <t>AC (11 kW), DC (170 kW)</t>
  </si>
  <si>
    <t>EQE 53</t>
  </si>
  <si>
    <t>53 4MATIC+</t>
  </si>
  <si>
    <t>AC (22 kW), DC (170 kW)</t>
  </si>
  <si>
    <t>90.56 </t>
  </si>
  <si>
    <t>EQE</t>
  </si>
  <si>
    <t>4MATIC SUV Electric Art</t>
  </si>
  <si>
    <t>EQE SUV</t>
  </si>
  <si>
    <t>4MATIC SUV AMG Line</t>
  </si>
  <si>
    <t> 765</t>
  </si>
  <si>
    <t>EQE 350</t>
  </si>
  <si>
    <t>350 4MATIC SUV AMG Dynamic</t>
  </si>
  <si>
    <t> 766</t>
  </si>
  <si>
    <t>EQS Saloon</t>
  </si>
  <si>
    <t xml:space="preserve"> AC (11-22 kW) ,DC (200 kW)</t>
  </si>
  <si>
    <t>526 - 580</t>
  </si>
  <si>
    <t>EQS-EV</t>
  </si>
  <si>
    <t>450+ AMG Dynamic</t>
  </si>
  <si>
    <t>AC (11 kW), DC (200 kW)</t>
  </si>
  <si>
    <t> 568</t>
  </si>
  <si>
    <t>EQS 500</t>
  </si>
  <si>
    <t>500 4MATIC AMG Premium</t>
  </si>
  <si>
    <t>702 </t>
  </si>
  <si>
    <t>EQS SUV</t>
  </si>
  <si>
    <t>EQS 450EV</t>
  </si>
  <si>
    <t>450 4MATIC SUV AMG Dynamic</t>
  </si>
  <si>
    <t>Full-size Luxury Crossover SUV</t>
  </si>
  <si>
    <t>5,640,000 </t>
  </si>
  <si>
    <t>658 - 673</t>
  </si>
  <si>
    <t>800 </t>
  </si>
  <si>
    <t>500 4MATIC SUV AMG Dynamic</t>
  </si>
  <si>
    <t> 330</t>
  </si>
  <si>
    <t>828 </t>
  </si>
  <si>
    <t>680 SUV</t>
  </si>
  <si>
    <t>Electric G-Class</t>
  </si>
  <si>
    <t>G 580 with EQ Technology Edition One</t>
  </si>
  <si>
    <t>Full-size Luxury Off-Road SUV</t>
  </si>
  <si>
    <t>12,200,000 </t>
  </si>
  <si>
    <t>1,164 </t>
  </si>
  <si>
    <t xml:space="preserve">EQ </t>
  </si>
  <si>
    <t>G 580 with EQ Technology</t>
  </si>
  <si>
    <t>EQA</t>
  </si>
  <si>
    <t>Subcompact Luxury Crossover SUV</t>
  </si>
  <si>
    <t>AC (11 kW), DC (100 kW)</t>
  </si>
  <si>
    <t>350 4MATIC AMG Line</t>
  </si>
  <si>
    <t>MINI</t>
  </si>
  <si>
    <t xml:space="preserve">COOPER </t>
  </si>
  <si>
    <t>COOPER EV</t>
  </si>
  <si>
    <t>MINI Cooper (Hightrim)</t>
  </si>
  <si>
    <t>1,799,000 </t>
  </si>
  <si>
    <t>AC (11 kW), DC (95 kW)</t>
  </si>
  <si>
    <t>SVOLT / CATL</t>
  </si>
  <si>
    <t>Cooper</t>
  </si>
  <si>
    <t>Cooper SE Classic</t>
  </si>
  <si>
    <t>Cooper SE Favoured</t>
  </si>
  <si>
    <t>John Cooper Works Electric (1965 Victory Edition ปี 2026)</t>
  </si>
  <si>
    <t>Cooper Paul Smith Edition</t>
  </si>
  <si>
    <t>Aceman SE</t>
  </si>
  <si>
    <t>ACEMAN SE-EV</t>
  </si>
  <si>
    <t>Aceman SE Classic</t>
  </si>
  <si>
    <t>Aceman</t>
  </si>
  <si>
    <t>Aceman SE Favoured</t>
  </si>
  <si>
    <t>John Cooper Works Aceman</t>
  </si>
  <si>
    <t>Countryman EV</t>
  </si>
  <si>
    <t>Countryman SE</t>
  </si>
  <si>
    <t>AC (11 kW), DC (130 kW)</t>
  </si>
  <si>
    <t>66.45 </t>
  </si>
  <si>
    <t>Countryman Electric (SE)</t>
  </si>
  <si>
    <t>Countryman SE ALL4 Favoured</t>
  </si>
  <si>
    <t>Countryman SE ALL4 JCW Trim</t>
  </si>
  <si>
    <t>AUDI</t>
  </si>
  <si>
    <t>E-TRON EV</t>
  </si>
  <si>
    <t>Mid-size Premium SUV</t>
  </si>
  <si>
    <t>AC (11 kW), DC (150 kW)</t>
  </si>
  <si>
    <t>Q6 E-TRON EV</t>
  </si>
  <si>
    <t>AC (11 kW), DC (260 kW)</t>
  </si>
  <si>
    <t>714 </t>
  </si>
  <si>
    <t>Q8 E-TRON EV</t>
  </si>
  <si>
    <t xml:space="preserve"> 50 quattro</t>
  </si>
  <si>
    <t>Mid-size Luxury SUV</t>
  </si>
  <si>
    <t>404-448</t>
  </si>
  <si>
    <t>Q8 e-tron (Boost Mode)</t>
  </si>
  <si>
    <t>404-449</t>
  </si>
  <si>
    <t>Q8 e-tron โหมดปกติ</t>
  </si>
  <si>
    <t>55 quattro Black Edition</t>
  </si>
  <si>
    <t>468-520</t>
  </si>
  <si>
    <t> 561</t>
  </si>
  <si>
    <t>468-521</t>
  </si>
  <si>
    <t>Q8 Sportback e-tron โหมดปกติ</t>
  </si>
  <si>
    <t> Sportback e-tron 50 quattro S line </t>
  </si>
  <si>
    <t>Mid-size Luxury Crossover Coupe SUV</t>
  </si>
  <si>
    <t>540 </t>
  </si>
  <si>
    <t>Q8 Sportback e-tron (Boost Mode)</t>
  </si>
  <si>
    <t>Sportback e-tron 55 quattro S line Black edition</t>
  </si>
  <si>
    <t>Audi e-tron GT</t>
  </si>
  <si>
    <t>quattro</t>
  </si>
  <si>
    <t>AC (11 kW), DC (270 kW)</t>
  </si>
  <si>
    <t>RS E-TRON</t>
  </si>
  <si>
    <t>RS e-tron GT quattro</t>
  </si>
  <si>
    <t>504 </t>
  </si>
  <si>
    <t>Audi e-tron GT โหมดปกติ</t>
  </si>
  <si>
    <t>GT quattro Performance</t>
  </si>
  <si>
    <t>Audi e-tron GT (Boost Mode)</t>
  </si>
  <si>
    <t>PORSCHE</t>
  </si>
  <si>
    <t>Taycan</t>
  </si>
  <si>
    <t>TAYCAN-EV</t>
  </si>
  <si>
    <t>Taycan (RWD)</t>
  </si>
  <si>
    <t>Sport Sedan</t>
  </si>
  <si>
    <t>AC (11 kW), DC (320 kW)</t>
  </si>
  <si>
    <t> 345</t>
  </si>
  <si>
    <t>Taycan 4</t>
  </si>
  <si>
    <t>Sport Turismo</t>
  </si>
  <si>
    <t>Taycan 4S</t>
  </si>
  <si>
    <t>Taycan 4S Plus</t>
  </si>
  <si>
    <t>Taycan Turbo</t>
  </si>
  <si>
    <t>11,090,00</t>
  </si>
  <si>
    <t>Taycan Turbo S</t>
  </si>
  <si>
    <t>Taycan Turbo GT</t>
  </si>
  <si>
    <t>Taycan GTS</t>
  </si>
  <si>
    <t>Taycan Turbo Sport Turismo</t>
  </si>
  <si>
    <t>Shooting Brake</t>
  </si>
  <si>
    <t>Taycan Cross Turismo</t>
  </si>
  <si>
    <t>Taycan 4 Cross Turismo</t>
  </si>
  <si>
    <t>Crossover</t>
  </si>
  <si>
    <t>Taycan 4S Cross Turismo</t>
  </si>
  <si>
    <t>Taycan Turbo Cross Turismo</t>
  </si>
  <si>
    <t>Taycan Turbo S Cross Turismo</t>
  </si>
  <si>
    <t>Cayenne</t>
  </si>
  <si>
    <t>Cayenne Coupé Electric</t>
  </si>
  <si>
    <t>Coupé SUV</t>
  </si>
  <si>
    <t>AC (11 kW), DC (400 kW)</t>
  </si>
  <si>
    <t>NMCA</t>
  </si>
  <si>
    <t>Cayenne S Coupé Electric</t>
  </si>
  <si>
    <t>113 </t>
  </si>
  <si>
    <t>Cayenne Turbo Coupé Electric</t>
  </si>
  <si>
    <t>AC (11 kW), DC (390 kW)</t>
  </si>
  <si>
    <t>Cayenne Turbo Electric</t>
  </si>
  <si>
    <t>Cayenne S Electric</t>
  </si>
  <si>
    <t>691 </t>
  </si>
  <si>
    <t xml:space="preserve">MACAN </t>
  </si>
  <si>
    <t>MACAN Electric</t>
  </si>
  <si>
    <t>Macan Electric (RWD)</t>
  </si>
  <si>
    <t>Coupe SUV</t>
  </si>
  <si>
    <t xml:space="preserve">CATL/Dräxlmaier Group </t>
  </si>
  <si>
    <t>Macan 4 Electric</t>
  </si>
  <si>
    <t>613 </t>
  </si>
  <si>
    <t>Macan 4S Electric</t>
  </si>
  <si>
    <t> 6,590,000</t>
  </si>
  <si>
    <t> 820 </t>
  </si>
  <si>
    <t>MACAN GTS</t>
  </si>
  <si>
    <t>7,290,000 </t>
  </si>
  <si>
    <t>Macan Turbo Electric</t>
  </si>
  <si>
    <t>VOLKSWAGEN</t>
  </si>
  <si>
    <t>ID.3</t>
  </si>
  <si>
    <t>AC Type 2 (11 kW), DC CCS (100 kW)</t>
  </si>
  <si>
    <t>LG Energy Solution / CATL</t>
  </si>
  <si>
    <t xml:space="preserve">Pro </t>
  </si>
  <si>
    <t>AC Type 2 (11 kW), DC CCS (165 kW)</t>
  </si>
  <si>
    <t>CATL / SK On</t>
  </si>
  <si>
    <t>Pro S)</t>
  </si>
  <si>
    <t>AC Type 2 (11 kW), DC CCS (135 kW)</t>
  </si>
  <si>
    <t>Liquid cooling with heat pump</t>
  </si>
  <si>
    <t xml:space="preserve">Pro S </t>
  </si>
  <si>
    <t>AC Type 2 (11 kW), DC CCS (175 kW)</t>
  </si>
  <si>
    <t>Liquid cooled</t>
  </si>
  <si>
    <t>ID.4</t>
  </si>
  <si>
    <t>AC Type 2  (11 kW), DC CCS (143 kW)</t>
  </si>
  <si>
    <t xml:space="preserve">GTX </t>
  </si>
  <si>
    <t>2,750 </t>
  </si>
  <si>
    <t>ID.5</t>
  </si>
  <si>
    <t>SUV Coupé</t>
  </si>
  <si>
    <t>AC Type 2 (11 kW), DC CCS (143 kW)</t>
  </si>
  <si>
    <t>128 </t>
  </si>
  <si>
    <t>GTX</t>
  </si>
  <si>
    <t>ID.6</t>
  </si>
  <si>
    <t>ID.6 CROZZ</t>
  </si>
  <si>
    <t>Large SUV</t>
  </si>
  <si>
    <t>480 (CLTC)</t>
  </si>
  <si>
    <t>481 (CLTC)</t>
  </si>
  <si>
    <t>ID BUZZ</t>
  </si>
  <si>
    <t>AC Type 2 (11 kW), DC CCS (185 kW)</t>
  </si>
  <si>
    <t>ID. Buzz</t>
  </si>
  <si>
    <t>Cargo</t>
  </si>
  <si>
    <t xml:space="preserve">Van </t>
  </si>
  <si>
    <t>Van / Commercial Van</t>
  </si>
  <si>
    <t>GTX รุ่นฐานล้อสั้นมาตรฐาน</t>
  </si>
  <si>
    <t>TESLA</t>
  </si>
  <si>
    <t>Model S</t>
  </si>
  <si>
    <t>Model S EV</t>
  </si>
  <si>
    <t>Long Range / Dual Motor AWD</t>
  </si>
  <si>
    <t>ยกเลิกมาตรฐาน NEDC</t>
  </si>
  <si>
    <t>NCA</t>
  </si>
  <si>
    <t>2534 </t>
  </si>
  <si>
    <t>Plaid</t>
  </si>
  <si>
    <t>AC Type 2 (16.5 kW), DC CCS (250 kW)</t>
  </si>
  <si>
    <t>Model 3</t>
  </si>
  <si>
    <t>MODEL 3</t>
  </si>
  <si>
    <t>AC Type 2 (11 kW), DC CCS (250 kW)</t>
  </si>
  <si>
    <t>AC Type 2 (7.6 kW), DC CCS (250 kW)</t>
  </si>
  <si>
    <t>Model 3 EV</t>
  </si>
  <si>
    <t>Premium Long Range AWD</t>
  </si>
  <si>
    <t>Premium Long Range RWD</t>
  </si>
  <si>
    <t>1,599,000 </t>
  </si>
  <si>
    <t>AC Type 2 (11.5 kW), DC CCS (250 kW)</t>
  </si>
  <si>
    <t>Premium Performance AWD (Performance AWD)</t>
  </si>
  <si>
    <t>MODEL X EV</t>
  </si>
  <si>
    <t xml:space="preserve">Model Y </t>
  </si>
  <si>
    <t>MODEL Y</t>
  </si>
  <si>
    <t xml:space="preserve">Rear-Wheel Drive (RWD) </t>
  </si>
  <si>
    <t>Mid-size Crossover SUV</t>
  </si>
  <si>
    <t>AC Type 2 (11 kW), DC CCS (170 kW)</t>
  </si>
  <si>
    <t>Model Y EV</t>
  </si>
  <si>
    <t>Model Y</t>
  </si>
  <si>
    <t>SUV </t>
  </si>
  <si>
    <t xml:space="preserve">L Premium </t>
  </si>
  <si>
    <t>Firefly (หรือ NIO)</t>
  </si>
  <si>
    <t>Firefly EV</t>
  </si>
  <si>
    <t>400 Standard</t>
  </si>
  <si>
    <t>AC Type 2 (7 kW), DC CCS (100 kW)</t>
  </si>
  <si>
    <t>RIDDARA</t>
  </si>
  <si>
    <t>RD6</t>
  </si>
  <si>
    <t xml:space="preserve">2WD (RWD) 63kWh </t>
  </si>
  <si>
    <t>AC (6.6 kW), DC (90 kW)</t>
  </si>
  <si>
    <t>2WD (RWD) 73kWh (73.9 kWh)</t>
  </si>
  <si>
    <t> 999,000</t>
  </si>
  <si>
    <t>AC (6.6 kW), DC (110 kW)</t>
  </si>
  <si>
    <t>2WD 86 kWh</t>
  </si>
  <si>
    <t>AC (6.6 kW), DC (100 kW)</t>
  </si>
  <si>
    <t>CATL/VMT</t>
  </si>
  <si>
    <t>4WD 73kWh</t>
  </si>
  <si>
    <t>595 </t>
  </si>
  <si>
    <t>4WD 86kWh</t>
  </si>
  <si>
    <t>Econ 2WD 63kWh</t>
  </si>
  <si>
    <t>Econ 2WD 74kWh (73.9kWh)</t>
  </si>
  <si>
    <t>385 </t>
  </si>
  <si>
    <t>Econ 4WD 74kWh (73.9kWh)</t>
  </si>
  <si>
    <t>4WD 86 kWh Sunroof</t>
  </si>
  <si>
    <t>LOTUS</t>
  </si>
  <si>
    <t xml:space="preserve">ELETRE </t>
  </si>
  <si>
    <t>ELETRE EV</t>
  </si>
  <si>
    <t>ELETRE</t>
  </si>
  <si>
    <t>600 GT SE</t>
  </si>
  <si>
    <t>AC Type 2 (22 kW) , DC CCS2 (112 kW)</t>
  </si>
  <si>
    <t>600 Sport SE</t>
  </si>
  <si>
    <t>900 Sport</t>
  </si>
  <si>
    <t>900 Sport Carbon</t>
  </si>
  <si>
    <t xml:space="preserve">EMEYA </t>
  </si>
  <si>
    <t>EMEYA EV</t>
  </si>
  <si>
    <t>Sedan / Hyper GT</t>
  </si>
  <si>
    <t>EMEYA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</si>
</sst>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3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Tahoma"/>
      <family val="2"/>
      <scheme val="minor"/>
    </font>
    <font>
      <b/>
      <sz val="14"/>
      <name val="Tahoma"/>
      <family val="2"/>
      <scheme val="minor"/>
    </font>
    <font>
      <sz val="14"/>
      <color theme="1"/>
      <name val="Tahoma"/>
      <family val="2"/>
      <scheme val="minor"/>
    </font>
    <font>
      <sz val="14"/>
      <name val="Tahoma"/>
      <family val="2"/>
      <scheme val="minor"/>
    </font>
    <font>
      <sz val="14"/>
      <color rgb="FF000000"/>
      <name val="Tahoma"/>
      <family val="2"/>
      <scheme val="minor"/>
    </font>
    <font>
      <sz val="14"/>
      <color rgb="FF3D3D3D"/>
      <name val="Tahoma"/>
      <family val="2"/>
      <scheme val="minor"/>
    </font>
    <font>
      <sz val="14"/>
      <color rgb="FFFFFF00"/>
      <name val="Tahoma"/>
      <family val="2"/>
      <scheme val="minor"/>
    </font>
    <font>
      <sz val="14"/>
      <color rgb="FF343434"/>
      <name val="Tahoma"/>
      <family val="2"/>
      <scheme val="minor"/>
    </font>
    <font>
      <sz val="14"/>
      <color rgb="FF262626"/>
      <name val="Tahoma"/>
      <family val="2"/>
      <scheme val="minor"/>
    </font>
    <font>
      <sz val="14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left" vertical="center" wrapText="1"/>
    </xf>
    <xf numFmtId="1" fontId="4" fillId="0" borderId="0" xfId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3" fontId="9" fillId="0" borderId="0" xfId="0" applyNumberFormat="1" applyFont="1"/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0" fillId="0" borderId="0" xfId="0" applyFont="1"/>
    <xf numFmtId="0" fontId="1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B8DA-AE40-4DA4-B8F8-780A4DDFDA3D}">
  <dimension ref="A1:AG336"/>
  <sheetViews>
    <sheetView tabSelected="1" topLeftCell="L273" zoomScale="53" zoomScaleNormal="53" workbookViewId="0">
      <selection activeCell="T3" sqref="T3"/>
    </sheetView>
  </sheetViews>
  <sheetFormatPr defaultColWidth="9" defaultRowHeight="17.45"/>
  <cols>
    <col min="1" max="1" width="29.125" style="7" customWidth="1"/>
    <col min="2" max="2" width="44.875" style="7" customWidth="1"/>
    <col min="3" max="3" width="37.625" style="7" customWidth="1"/>
    <col min="4" max="4" width="37.375" style="7" customWidth="1"/>
    <col min="5" max="5" width="73.125" style="7" customWidth="1"/>
    <col min="6" max="6" width="40.625" style="7" customWidth="1"/>
    <col min="7" max="7" width="40.25" style="7" customWidth="1"/>
    <col min="8" max="8" width="11.25" style="7" customWidth="1"/>
    <col min="9" max="9" width="19.5" style="7" customWidth="1"/>
    <col min="10" max="10" width="10.875" style="8" customWidth="1"/>
    <col min="11" max="11" width="8.875" style="9" customWidth="1"/>
    <col min="12" max="12" width="60.375" style="7" customWidth="1"/>
    <col min="13" max="13" width="38.875" style="7" customWidth="1"/>
    <col min="14" max="14" width="44" style="7" customWidth="1"/>
    <col min="15" max="16" width="9" style="8" customWidth="1"/>
    <col min="17" max="17" width="13.25" style="7" customWidth="1"/>
    <col min="18" max="18" width="9.875" style="7" customWidth="1"/>
    <col min="19" max="19" width="11.125" style="7" customWidth="1"/>
    <col min="20" max="20" width="15.625" style="7" customWidth="1"/>
    <col min="21" max="21" width="56.875" style="7" customWidth="1"/>
    <col min="22" max="22" width="65.25" style="7" customWidth="1"/>
    <col min="23" max="23" width="19" style="7" customWidth="1"/>
    <col min="24" max="24" width="19.25" style="7" customWidth="1"/>
    <col min="25" max="25" width="16.625" style="7" customWidth="1"/>
    <col min="26" max="26" width="14.875" style="7" customWidth="1"/>
    <col min="27" max="27" width="16.75" style="7" customWidth="1"/>
    <col min="28" max="28" width="22.125" style="7" customWidth="1"/>
    <col min="29" max="29" width="18.625" style="7" customWidth="1"/>
    <col min="30" max="30" width="13.75" style="7" customWidth="1"/>
    <col min="31" max="31" width="14.125" style="7" customWidth="1"/>
    <col min="32" max="32" width="19.75" style="7" customWidth="1"/>
    <col min="33" max="33" width="15.875" style="7" customWidth="1"/>
    <col min="34" max="16384" width="9" style="7"/>
  </cols>
  <sheetData>
    <row r="1" spans="1:3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</row>
    <row r="2" spans="1:33">
      <c r="A2" s="7" t="s">
        <v>32</v>
      </c>
      <c r="B2" s="10" t="s">
        <v>33</v>
      </c>
      <c r="C2" s="10" t="s">
        <v>33</v>
      </c>
      <c r="D2" s="7" t="s">
        <v>34</v>
      </c>
      <c r="E2" s="7" t="str">
        <f>A2&amp;" "&amp;C2&amp;" "&amp;D2</f>
        <v>BYD Atto3 Standard Range Dynamic</v>
      </c>
      <c r="F2" s="10" t="s">
        <v>35</v>
      </c>
      <c r="G2" s="10" t="s">
        <v>35</v>
      </c>
      <c r="H2" s="7" t="s">
        <v>36</v>
      </c>
      <c r="I2" s="11">
        <v>899900</v>
      </c>
      <c r="L2" s="7" t="s">
        <v>37</v>
      </c>
      <c r="M2" s="7" t="s">
        <v>32</v>
      </c>
      <c r="N2" s="7" t="s">
        <v>32</v>
      </c>
      <c r="Q2" s="7">
        <v>49.92</v>
      </c>
      <c r="S2" s="7">
        <v>410</v>
      </c>
      <c r="T2" s="7" t="s">
        <v>38</v>
      </c>
      <c r="U2" s="7" t="s">
        <v>39</v>
      </c>
      <c r="V2" s="7" t="s">
        <v>39</v>
      </c>
      <c r="W2" s="7">
        <f t="shared" ref="W2:W54" si="0">(Q2/S2)*100</f>
        <v>12.175609756097563</v>
      </c>
      <c r="X2" s="7">
        <v>175</v>
      </c>
      <c r="Y2" s="7">
        <v>150</v>
      </c>
      <c r="Z2" s="7">
        <v>310</v>
      </c>
      <c r="AA2" s="7" t="s">
        <v>40</v>
      </c>
      <c r="AB2" s="11">
        <v>2090</v>
      </c>
      <c r="AC2" s="12">
        <v>1875</v>
      </c>
      <c r="AD2" s="12">
        <v>4455</v>
      </c>
      <c r="AE2" s="12">
        <v>1615</v>
      </c>
      <c r="AF2" s="12">
        <v>2720</v>
      </c>
    </row>
    <row r="3" spans="1:33">
      <c r="A3" s="7" t="s">
        <v>32</v>
      </c>
      <c r="B3" s="10" t="s">
        <v>41</v>
      </c>
      <c r="C3" s="10" t="s">
        <v>41</v>
      </c>
      <c r="D3" s="7" t="s">
        <v>42</v>
      </c>
      <c r="E3" s="7" t="str">
        <f t="shared" ref="E3:E66" si="1">A3&amp;" "&amp;C3&amp;" "&amp;D3</f>
        <v>BYD Atto 3 Standard Range Premium</v>
      </c>
      <c r="F3" s="10" t="s">
        <v>35</v>
      </c>
      <c r="G3" s="10" t="s">
        <v>35</v>
      </c>
      <c r="H3" s="7" t="s">
        <v>36</v>
      </c>
      <c r="I3" s="11">
        <v>949900</v>
      </c>
      <c r="L3" s="7" t="s">
        <v>37</v>
      </c>
      <c r="M3" s="7" t="s">
        <v>32</v>
      </c>
      <c r="N3" s="7" t="s">
        <v>32</v>
      </c>
      <c r="Q3" s="7">
        <v>49.92</v>
      </c>
      <c r="S3" s="7">
        <v>410</v>
      </c>
      <c r="T3" s="7" t="s">
        <v>38</v>
      </c>
      <c r="U3" s="7" t="s">
        <v>39</v>
      </c>
      <c r="V3" s="7" t="s">
        <v>39</v>
      </c>
      <c r="W3" s="7">
        <f t="shared" si="0"/>
        <v>12.175609756097563</v>
      </c>
      <c r="X3" s="7">
        <v>175</v>
      </c>
      <c r="Y3" s="7">
        <v>150</v>
      </c>
      <c r="Z3" s="7">
        <v>310</v>
      </c>
      <c r="AA3" s="7" t="s">
        <v>40</v>
      </c>
      <c r="AB3" s="11">
        <v>2090</v>
      </c>
      <c r="AC3" s="12">
        <v>1875</v>
      </c>
      <c r="AD3" s="12">
        <v>4455</v>
      </c>
      <c r="AE3" s="12">
        <v>1615</v>
      </c>
      <c r="AF3" s="12">
        <v>2720</v>
      </c>
    </row>
    <row r="4" spans="1:33">
      <c r="A4" s="7" t="s">
        <v>32</v>
      </c>
      <c r="B4" s="10" t="s">
        <v>41</v>
      </c>
      <c r="C4" s="10" t="s">
        <v>41</v>
      </c>
      <c r="D4" s="7" t="s">
        <v>43</v>
      </c>
      <c r="E4" s="7" t="str">
        <f t="shared" si="1"/>
        <v>BYD Atto 3 Extended Range Premium</v>
      </c>
      <c r="F4" s="10" t="s">
        <v>35</v>
      </c>
      <c r="G4" s="10" t="s">
        <v>35</v>
      </c>
      <c r="H4" s="7" t="s">
        <v>36</v>
      </c>
      <c r="I4" s="13">
        <v>1049900</v>
      </c>
      <c r="L4" s="7" t="s">
        <v>44</v>
      </c>
      <c r="M4" s="7" t="s">
        <v>32</v>
      </c>
      <c r="N4" s="7" t="s">
        <v>32</v>
      </c>
      <c r="Q4" s="7">
        <v>60.48</v>
      </c>
      <c r="S4" s="7">
        <v>480</v>
      </c>
      <c r="T4" s="7" t="s">
        <v>38</v>
      </c>
      <c r="U4" s="7" t="s">
        <v>39</v>
      </c>
      <c r="V4" s="7" t="s">
        <v>39</v>
      </c>
      <c r="W4" s="7">
        <f t="shared" si="0"/>
        <v>12.6</v>
      </c>
      <c r="X4" s="7">
        <v>175</v>
      </c>
      <c r="Y4" s="7">
        <v>150</v>
      </c>
      <c r="Z4" s="7">
        <v>310</v>
      </c>
      <c r="AA4" s="7" t="s">
        <v>40</v>
      </c>
      <c r="AB4" s="11">
        <v>2160</v>
      </c>
      <c r="AC4" s="12">
        <v>1875</v>
      </c>
      <c r="AD4" s="12">
        <v>4455</v>
      </c>
      <c r="AE4" s="12">
        <v>1615</v>
      </c>
      <c r="AF4" s="12">
        <v>2720</v>
      </c>
    </row>
    <row r="5" spans="1:33">
      <c r="A5" s="7" t="s">
        <v>32</v>
      </c>
      <c r="B5" s="10" t="s">
        <v>45</v>
      </c>
      <c r="C5" s="10" t="s">
        <v>45</v>
      </c>
      <c r="D5" s="10" t="s">
        <v>46</v>
      </c>
      <c r="E5" s="7" t="str">
        <f t="shared" si="1"/>
        <v>BYD Dolphin Standard Range</v>
      </c>
      <c r="F5" s="10" t="s">
        <v>47</v>
      </c>
      <c r="G5" s="10" t="s">
        <v>47</v>
      </c>
      <c r="H5" s="7" t="s">
        <v>36</v>
      </c>
      <c r="I5" s="11">
        <v>599900</v>
      </c>
      <c r="L5" s="7" t="s">
        <v>48</v>
      </c>
      <c r="M5" s="7" t="s">
        <v>32</v>
      </c>
      <c r="N5" s="7" t="s">
        <v>32</v>
      </c>
      <c r="Q5" s="7">
        <v>50.25</v>
      </c>
      <c r="S5" s="7">
        <v>435</v>
      </c>
      <c r="T5" s="7" t="s">
        <v>38</v>
      </c>
      <c r="U5" s="7" t="s">
        <v>39</v>
      </c>
      <c r="V5" s="7" t="s">
        <v>39</v>
      </c>
      <c r="W5" s="7">
        <f t="shared" si="0"/>
        <v>11.551724137931034</v>
      </c>
      <c r="X5" s="7">
        <v>155</v>
      </c>
      <c r="Y5" s="7">
        <v>70</v>
      </c>
      <c r="Z5" s="7">
        <v>180</v>
      </c>
      <c r="AA5" s="7" t="s">
        <v>40</v>
      </c>
      <c r="AB5" s="11">
        <v>2068</v>
      </c>
      <c r="AC5" s="12">
        <v>1770</v>
      </c>
      <c r="AD5" s="12">
        <v>4125</v>
      </c>
      <c r="AE5" s="12">
        <v>1570</v>
      </c>
      <c r="AF5" s="12">
        <v>2700</v>
      </c>
    </row>
    <row r="6" spans="1:33">
      <c r="A6" s="7" t="s">
        <v>32</v>
      </c>
      <c r="B6" s="10" t="s">
        <v>45</v>
      </c>
      <c r="C6" s="10" t="s">
        <v>45</v>
      </c>
      <c r="D6" s="10" t="s">
        <v>49</v>
      </c>
      <c r="E6" s="7" t="str">
        <f t="shared" si="1"/>
        <v>BYD Dolphin Extended Range</v>
      </c>
      <c r="F6" s="10" t="s">
        <v>47</v>
      </c>
      <c r="G6" s="10" t="s">
        <v>47</v>
      </c>
      <c r="H6" s="7" t="s">
        <v>36</v>
      </c>
      <c r="I6" s="11">
        <v>719900</v>
      </c>
      <c r="L6" s="7" t="s">
        <v>50</v>
      </c>
      <c r="M6" s="7" t="s">
        <v>32</v>
      </c>
      <c r="N6" s="7" t="s">
        <v>32</v>
      </c>
      <c r="Q6" s="7">
        <v>60.48</v>
      </c>
      <c r="S6" s="7">
        <v>490</v>
      </c>
      <c r="T6" s="7" t="s">
        <v>38</v>
      </c>
      <c r="U6" s="7" t="s">
        <v>39</v>
      </c>
      <c r="V6" s="7" t="s">
        <v>39</v>
      </c>
      <c r="W6" s="7">
        <f t="shared" si="0"/>
        <v>12.342857142857142</v>
      </c>
      <c r="X6" s="7">
        <v>155</v>
      </c>
      <c r="Y6" s="7">
        <v>150</v>
      </c>
      <c r="Z6" s="7">
        <v>310</v>
      </c>
      <c r="AA6" s="7" t="s">
        <v>40</v>
      </c>
      <c r="AB6" s="11">
        <v>1930</v>
      </c>
      <c r="AC6" s="12">
        <v>1770</v>
      </c>
      <c r="AD6" s="12">
        <v>4290</v>
      </c>
      <c r="AE6" s="12">
        <v>1570</v>
      </c>
      <c r="AF6" s="12">
        <v>2700</v>
      </c>
    </row>
    <row r="7" spans="1:33">
      <c r="A7" s="7" t="s">
        <v>32</v>
      </c>
      <c r="B7" s="10" t="s">
        <v>51</v>
      </c>
      <c r="C7" s="10" t="s">
        <v>51</v>
      </c>
      <c r="D7" s="10" t="s">
        <v>52</v>
      </c>
      <c r="E7" s="7" t="str">
        <f t="shared" si="1"/>
        <v>BYD Seal Dynamic RWD</v>
      </c>
      <c r="F7" s="10" t="s">
        <v>53</v>
      </c>
      <c r="G7" s="10" t="s">
        <v>53</v>
      </c>
      <c r="H7" s="7" t="s">
        <v>36</v>
      </c>
      <c r="I7" s="14">
        <v>1325000</v>
      </c>
      <c r="L7" s="7" t="s">
        <v>54</v>
      </c>
      <c r="M7" s="7" t="s">
        <v>32</v>
      </c>
      <c r="N7" s="7" t="s">
        <v>32</v>
      </c>
      <c r="Q7" s="7">
        <v>61.4</v>
      </c>
      <c r="S7" s="7">
        <v>510</v>
      </c>
      <c r="T7" s="7" t="s">
        <v>38</v>
      </c>
      <c r="U7" s="7" t="s">
        <v>39</v>
      </c>
      <c r="V7" s="7" t="s">
        <v>39</v>
      </c>
      <c r="W7" s="7">
        <f t="shared" si="0"/>
        <v>12.03921568627451</v>
      </c>
      <c r="X7" s="7">
        <v>120</v>
      </c>
      <c r="Y7" s="7">
        <v>150</v>
      </c>
      <c r="Z7" s="7">
        <v>310</v>
      </c>
      <c r="AA7" s="7" t="s">
        <v>40</v>
      </c>
      <c r="AB7" s="11">
        <v>2344</v>
      </c>
      <c r="AC7" s="12">
        <v>1875</v>
      </c>
      <c r="AD7" s="12">
        <v>4800</v>
      </c>
      <c r="AE7" s="12">
        <v>1460</v>
      </c>
      <c r="AF7" s="12">
        <v>2920</v>
      </c>
    </row>
    <row r="8" spans="1:33">
      <c r="A8" s="7" t="s">
        <v>32</v>
      </c>
      <c r="B8" s="10" t="s">
        <v>51</v>
      </c>
      <c r="C8" s="10" t="s">
        <v>51</v>
      </c>
      <c r="D8" s="10" t="s">
        <v>55</v>
      </c>
      <c r="E8" s="7" t="str">
        <f t="shared" si="1"/>
        <v>BYD Seal Premium RWD</v>
      </c>
      <c r="F8" s="10" t="s">
        <v>53</v>
      </c>
      <c r="G8" s="10" t="s">
        <v>53</v>
      </c>
      <c r="H8" s="7" t="s">
        <v>36</v>
      </c>
      <c r="I8" s="14">
        <v>1449000</v>
      </c>
      <c r="L8" s="7" t="s">
        <v>56</v>
      </c>
      <c r="M8" s="7" t="s">
        <v>32</v>
      </c>
      <c r="N8" s="7" t="s">
        <v>32</v>
      </c>
      <c r="Q8" s="7">
        <v>82.5</v>
      </c>
      <c r="S8" s="7">
        <v>650</v>
      </c>
      <c r="T8" s="7" t="s">
        <v>38</v>
      </c>
      <c r="U8" s="7" t="s">
        <v>39</v>
      </c>
      <c r="V8" s="7" t="s">
        <v>39</v>
      </c>
      <c r="W8" s="7">
        <f t="shared" si="0"/>
        <v>12.692307692307692</v>
      </c>
      <c r="X8" s="7">
        <v>120</v>
      </c>
      <c r="Y8" s="7">
        <v>230</v>
      </c>
      <c r="Z8" s="7">
        <v>360</v>
      </c>
      <c r="AA8" s="7" t="s">
        <v>40</v>
      </c>
      <c r="AB8" s="11">
        <v>2501</v>
      </c>
      <c r="AC8" s="12">
        <v>1875</v>
      </c>
      <c r="AD8" s="12">
        <v>4800</v>
      </c>
      <c r="AE8" s="12">
        <v>1460</v>
      </c>
      <c r="AF8" s="12">
        <v>2920</v>
      </c>
    </row>
    <row r="9" spans="1:33">
      <c r="A9" s="7" t="s">
        <v>32</v>
      </c>
      <c r="B9" s="10" t="s">
        <v>51</v>
      </c>
      <c r="C9" s="10" t="s">
        <v>51</v>
      </c>
      <c r="D9" s="10" t="s">
        <v>57</v>
      </c>
      <c r="E9" s="7" t="str">
        <f t="shared" si="1"/>
        <v>BYD Seal AWD Performance</v>
      </c>
      <c r="F9" s="10" t="s">
        <v>53</v>
      </c>
      <c r="G9" s="10" t="s">
        <v>53</v>
      </c>
      <c r="H9" s="7" t="s">
        <v>36</v>
      </c>
      <c r="I9" s="11">
        <v>1599000</v>
      </c>
      <c r="L9" s="7" t="s">
        <v>56</v>
      </c>
      <c r="M9" s="7" t="s">
        <v>32</v>
      </c>
      <c r="N9" s="7" t="s">
        <v>32</v>
      </c>
      <c r="Q9" s="7">
        <v>82.5</v>
      </c>
      <c r="S9" s="7">
        <v>580</v>
      </c>
      <c r="T9" s="7" t="s">
        <v>38</v>
      </c>
      <c r="U9" s="7" t="s">
        <v>39</v>
      </c>
      <c r="V9" s="7" t="s">
        <v>39</v>
      </c>
      <c r="W9" s="7">
        <f t="shared" si="0"/>
        <v>14.224137931034484</v>
      </c>
      <c r="X9" s="7">
        <v>120</v>
      </c>
      <c r="Y9" s="7">
        <v>390</v>
      </c>
      <c r="Z9" s="7">
        <v>670</v>
      </c>
      <c r="AA9" s="7" t="s">
        <v>40</v>
      </c>
      <c r="AB9" s="11">
        <v>2631</v>
      </c>
      <c r="AC9" s="12">
        <v>1875</v>
      </c>
      <c r="AD9" s="12">
        <v>4800</v>
      </c>
      <c r="AE9" s="12">
        <v>1460</v>
      </c>
      <c r="AF9" s="12">
        <v>2920</v>
      </c>
    </row>
    <row r="10" spans="1:33">
      <c r="A10" s="7" t="s">
        <v>32</v>
      </c>
      <c r="B10" s="10" t="s">
        <v>58</v>
      </c>
      <c r="C10" s="10" t="s">
        <v>58</v>
      </c>
      <c r="D10" s="10" t="s">
        <v>59</v>
      </c>
      <c r="E10" s="7" t="str">
        <f t="shared" si="1"/>
        <v>BYD M6 Dynamic</v>
      </c>
      <c r="F10" s="10" t="s">
        <v>60</v>
      </c>
      <c r="G10" s="10" t="s">
        <v>60</v>
      </c>
      <c r="H10" s="7" t="s">
        <v>36</v>
      </c>
      <c r="I10" s="11">
        <v>909900</v>
      </c>
      <c r="L10" s="7" t="s">
        <v>61</v>
      </c>
      <c r="M10" s="7" t="s">
        <v>32</v>
      </c>
      <c r="N10" s="7" t="s">
        <v>32</v>
      </c>
      <c r="Q10" s="7">
        <v>55.4</v>
      </c>
      <c r="S10" s="7">
        <v>420</v>
      </c>
      <c r="T10" s="7" t="s">
        <v>38</v>
      </c>
      <c r="U10" s="7" t="s">
        <v>39</v>
      </c>
      <c r="V10" s="7" t="s">
        <v>39</v>
      </c>
      <c r="W10" s="7">
        <f t="shared" si="0"/>
        <v>13.190476190476192</v>
      </c>
      <c r="X10" s="7">
        <v>170</v>
      </c>
      <c r="Y10" s="7">
        <v>120</v>
      </c>
      <c r="Z10" s="7">
        <v>310</v>
      </c>
      <c r="AA10" s="7" t="s">
        <v>40</v>
      </c>
      <c r="AB10" s="11">
        <v>2279</v>
      </c>
      <c r="AC10" s="12">
        <v>1810</v>
      </c>
      <c r="AD10" s="12">
        <v>4710</v>
      </c>
      <c r="AE10" s="12">
        <v>1690</v>
      </c>
      <c r="AF10" s="12">
        <v>2800</v>
      </c>
    </row>
    <row r="11" spans="1:33">
      <c r="A11" s="7" t="s">
        <v>32</v>
      </c>
      <c r="B11" s="10" t="s">
        <v>58</v>
      </c>
      <c r="C11" s="10" t="s">
        <v>58</v>
      </c>
      <c r="D11" s="10" t="s">
        <v>62</v>
      </c>
      <c r="E11" s="7" t="str">
        <f t="shared" si="1"/>
        <v>BYD M6 Extended</v>
      </c>
      <c r="F11" s="10" t="s">
        <v>60</v>
      </c>
      <c r="G11" s="10" t="s">
        <v>60</v>
      </c>
      <c r="H11" s="7" t="s">
        <v>36</v>
      </c>
      <c r="I11" s="11">
        <v>1009900</v>
      </c>
      <c r="L11" s="7" t="s">
        <v>63</v>
      </c>
      <c r="M11" s="7" t="s">
        <v>32</v>
      </c>
      <c r="N11" s="7" t="s">
        <v>32</v>
      </c>
      <c r="Q11" s="7">
        <v>71.8</v>
      </c>
      <c r="S11" s="7">
        <v>530</v>
      </c>
      <c r="T11" s="7" t="s">
        <v>38</v>
      </c>
      <c r="U11" s="7" t="s">
        <v>39</v>
      </c>
      <c r="V11" s="7" t="s">
        <v>39</v>
      </c>
      <c r="W11" s="7">
        <f t="shared" si="0"/>
        <v>13.547169811320753</v>
      </c>
      <c r="X11" s="7">
        <v>170</v>
      </c>
      <c r="Y11" s="7">
        <v>150</v>
      </c>
      <c r="Z11" s="7">
        <v>310</v>
      </c>
      <c r="AA11" s="7" t="s">
        <v>40</v>
      </c>
      <c r="AB11" s="11">
        <v>2394</v>
      </c>
      <c r="AC11" s="12">
        <v>1810</v>
      </c>
      <c r="AD11" s="12">
        <v>4710</v>
      </c>
      <c r="AE11" s="12">
        <v>1690</v>
      </c>
      <c r="AF11" s="12">
        <v>2800</v>
      </c>
    </row>
    <row r="12" spans="1:33">
      <c r="A12" s="7" t="s">
        <v>32</v>
      </c>
      <c r="B12" s="10" t="s">
        <v>64</v>
      </c>
      <c r="C12" s="10" t="s">
        <v>64</v>
      </c>
      <c r="D12" s="10" t="s">
        <v>55</v>
      </c>
      <c r="E12" s="7" t="str">
        <f t="shared" si="1"/>
        <v>BYD Sealion7 Premium RWD</v>
      </c>
      <c r="F12" s="10" t="s">
        <v>35</v>
      </c>
      <c r="G12" s="10" t="s">
        <v>65</v>
      </c>
      <c r="H12" s="7" t="s">
        <v>36</v>
      </c>
      <c r="I12" s="11">
        <v>1264900</v>
      </c>
      <c r="L12" s="7" t="s">
        <v>66</v>
      </c>
      <c r="M12" s="7" t="s">
        <v>32</v>
      </c>
      <c r="N12" s="7" t="s">
        <v>32</v>
      </c>
      <c r="Q12" s="7">
        <v>82.5</v>
      </c>
      <c r="S12" s="7">
        <v>567</v>
      </c>
      <c r="T12" s="7" t="s">
        <v>38</v>
      </c>
      <c r="U12" s="7" t="s">
        <v>39</v>
      </c>
      <c r="V12" s="7" t="s">
        <v>39</v>
      </c>
      <c r="W12" s="7">
        <f t="shared" si="0"/>
        <v>14.550264550264549</v>
      </c>
      <c r="X12" s="7">
        <v>157</v>
      </c>
      <c r="Y12" s="7">
        <v>230</v>
      </c>
      <c r="Z12" s="7">
        <v>380</v>
      </c>
      <c r="AA12" s="7" t="s">
        <v>40</v>
      </c>
      <c r="AB12" s="11">
        <v>2635</v>
      </c>
      <c r="AC12" s="12">
        <v>1925</v>
      </c>
      <c r="AD12" s="12">
        <v>4830</v>
      </c>
      <c r="AE12" s="12">
        <v>1620</v>
      </c>
      <c r="AF12" s="12">
        <v>2930</v>
      </c>
    </row>
    <row r="13" spans="1:33">
      <c r="A13" s="7" t="s">
        <v>32</v>
      </c>
      <c r="B13" s="10" t="s">
        <v>64</v>
      </c>
      <c r="C13" s="10" t="s">
        <v>64</v>
      </c>
      <c r="D13" s="10" t="s">
        <v>67</v>
      </c>
      <c r="E13" s="7" t="str">
        <f t="shared" si="1"/>
        <v>BYD Sealion7 Performance AWD</v>
      </c>
      <c r="F13" s="10" t="s">
        <v>35</v>
      </c>
      <c r="G13" s="10" t="s">
        <v>65</v>
      </c>
      <c r="H13" s="7" t="s">
        <v>36</v>
      </c>
      <c r="I13" s="11">
        <v>1364900</v>
      </c>
      <c r="L13" s="7" t="s">
        <v>68</v>
      </c>
      <c r="M13" s="7" t="s">
        <v>32</v>
      </c>
      <c r="N13" s="7" t="s">
        <v>32</v>
      </c>
      <c r="Q13" s="7">
        <v>82.5</v>
      </c>
      <c r="S13" s="7">
        <v>542</v>
      </c>
      <c r="T13" s="7" t="s">
        <v>38</v>
      </c>
      <c r="U13" s="7" t="s">
        <v>39</v>
      </c>
      <c r="V13" s="7" t="s">
        <v>39</v>
      </c>
      <c r="W13" s="7">
        <f t="shared" si="0"/>
        <v>15.22140221402214</v>
      </c>
      <c r="X13" s="7">
        <v>163</v>
      </c>
      <c r="Y13" s="7">
        <v>390</v>
      </c>
      <c r="Z13" s="7">
        <v>690</v>
      </c>
      <c r="AA13" s="7" t="s">
        <v>40</v>
      </c>
      <c r="AB13" s="11">
        <v>2750</v>
      </c>
      <c r="AC13" s="12">
        <v>1925</v>
      </c>
      <c r="AD13" s="12">
        <v>4830</v>
      </c>
      <c r="AE13" s="12">
        <v>1620</v>
      </c>
      <c r="AF13" s="12">
        <v>2930</v>
      </c>
    </row>
    <row r="14" spans="1:33">
      <c r="A14" s="7" t="s">
        <v>32</v>
      </c>
      <c r="B14" s="10" t="s">
        <v>69</v>
      </c>
      <c r="C14" s="10" t="s">
        <v>69</v>
      </c>
      <c r="D14" s="10" t="s">
        <v>59</v>
      </c>
      <c r="E14" s="7" t="str">
        <f t="shared" si="1"/>
        <v>BYD Atto1 Dynamic</v>
      </c>
      <c r="F14" s="10" t="s">
        <v>47</v>
      </c>
      <c r="G14" s="10" t="s">
        <v>47</v>
      </c>
      <c r="H14" s="7" t="s">
        <v>36</v>
      </c>
      <c r="I14" s="11">
        <v>429900</v>
      </c>
      <c r="L14" s="7" t="s">
        <v>70</v>
      </c>
      <c r="M14" s="7" t="s">
        <v>32</v>
      </c>
      <c r="N14" s="7" t="s">
        <v>32</v>
      </c>
      <c r="Q14" s="7">
        <v>30.08</v>
      </c>
      <c r="S14" s="7">
        <v>300</v>
      </c>
      <c r="T14" s="7" t="s">
        <v>38</v>
      </c>
      <c r="U14" s="7" t="s">
        <v>39</v>
      </c>
      <c r="V14" s="7" t="s">
        <v>39</v>
      </c>
      <c r="W14" s="7">
        <f t="shared" si="0"/>
        <v>10.026666666666666</v>
      </c>
      <c r="X14" s="7">
        <v>120</v>
      </c>
      <c r="Y14" s="7">
        <v>55</v>
      </c>
      <c r="Z14" s="7">
        <v>135</v>
      </c>
      <c r="AA14" s="7" t="s">
        <v>40</v>
      </c>
      <c r="AB14" s="11">
        <v>1635</v>
      </c>
      <c r="AC14" s="12">
        <v>1720</v>
      </c>
      <c r="AD14" s="12">
        <v>3780</v>
      </c>
      <c r="AE14" s="12">
        <v>1580</v>
      </c>
      <c r="AF14" s="12">
        <v>2500</v>
      </c>
    </row>
    <row r="15" spans="1:33">
      <c r="A15" s="7" t="s">
        <v>32</v>
      </c>
      <c r="B15" s="10" t="s">
        <v>71</v>
      </c>
      <c r="C15" s="10" t="s">
        <v>71</v>
      </c>
      <c r="D15" s="10" t="s">
        <v>72</v>
      </c>
      <c r="E15" s="7" t="str">
        <f t="shared" si="1"/>
        <v>BYD Atto 1 Premium</v>
      </c>
      <c r="F15" s="10" t="s">
        <v>47</v>
      </c>
      <c r="G15" s="10" t="s">
        <v>47</v>
      </c>
      <c r="H15" s="7" t="s">
        <v>36</v>
      </c>
      <c r="I15" s="11">
        <v>459900</v>
      </c>
      <c r="L15" s="7" t="s">
        <v>73</v>
      </c>
      <c r="M15" s="7" t="s">
        <v>32</v>
      </c>
      <c r="N15" s="7" t="s">
        <v>32</v>
      </c>
      <c r="Q15" s="7">
        <v>38.880000000000003</v>
      </c>
      <c r="S15" s="7">
        <v>380</v>
      </c>
      <c r="T15" s="7" t="s">
        <v>38</v>
      </c>
      <c r="U15" s="7" t="s">
        <v>39</v>
      </c>
      <c r="V15" s="7" t="s">
        <v>39</v>
      </c>
      <c r="W15" s="7">
        <f t="shared" si="0"/>
        <v>10.231578947368423</v>
      </c>
      <c r="X15" s="7">
        <v>120</v>
      </c>
      <c r="Y15" s="7">
        <v>55</v>
      </c>
      <c r="Z15" s="7">
        <v>135</v>
      </c>
      <c r="AA15" s="7" t="s">
        <v>40</v>
      </c>
      <c r="AB15" s="11">
        <v>1690</v>
      </c>
      <c r="AC15" s="12">
        <v>1720</v>
      </c>
      <c r="AD15" s="12">
        <v>3780</v>
      </c>
      <c r="AE15" s="12">
        <v>1580</v>
      </c>
      <c r="AF15" s="12">
        <v>2500</v>
      </c>
    </row>
    <row r="16" spans="1:33">
      <c r="A16" s="7" t="s">
        <v>32</v>
      </c>
      <c r="B16" s="10" t="s">
        <v>74</v>
      </c>
      <c r="C16" s="10" t="s">
        <v>74</v>
      </c>
      <c r="D16" s="10" t="s">
        <v>59</v>
      </c>
      <c r="E16" s="7" t="str">
        <f t="shared" si="1"/>
        <v>BYD Atto2 Dynamic</v>
      </c>
      <c r="F16" s="10" t="s">
        <v>35</v>
      </c>
      <c r="G16" s="10" t="s">
        <v>35</v>
      </c>
      <c r="H16" s="7" t="s">
        <v>36</v>
      </c>
      <c r="I16" s="11">
        <v>629900</v>
      </c>
      <c r="L16" s="7" t="s">
        <v>75</v>
      </c>
      <c r="M16" s="7" t="s">
        <v>32</v>
      </c>
      <c r="N16" s="7" t="s">
        <v>32</v>
      </c>
      <c r="Q16" s="7">
        <v>51.13</v>
      </c>
      <c r="S16" s="7">
        <v>410</v>
      </c>
      <c r="T16" s="7" t="s">
        <v>38</v>
      </c>
      <c r="U16" s="7" t="s">
        <v>39</v>
      </c>
      <c r="V16" s="7" t="s">
        <v>39</v>
      </c>
      <c r="W16" s="7">
        <f t="shared" si="0"/>
        <v>12.470731707317073</v>
      </c>
      <c r="X16" s="7">
        <v>170</v>
      </c>
      <c r="Y16" s="7">
        <v>130</v>
      </c>
      <c r="Z16" s="7">
        <v>290</v>
      </c>
      <c r="AA16" s="7" t="s">
        <v>40</v>
      </c>
      <c r="AB16" s="11">
        <v>1965</v>
      </c>
      <c r="AC16" s="12">
        <v>1830</v>
      </c>
      <c r="AD16" s="12">
        <v>4310</v>
      </c>
      <c r="AE16" s="12">
        <v>1675</v>
      </c>
      <c r="AF16" s="12">
        <v>2620</v>
      </c>
    </row>
    <row r="17" spans="1:32">
      <c r="A17" s="7" t="s">
        <v>32</v>
      </c>
      <c r="B17" s="10" t="s">
        <v>76</v>
      </c>
      <c r="C17" s="10" t="s">
        <v>76</v>
      </c>
      <c r="D17" s="10" t="s">
        <v>72</v>
      </c>
      <c r="E17" s="7" t="str">
        <f t="shared" si="1"/>
        <v>BYD Atto 2 Premium</v>
      </c>
      <c r="F17" s="10" t="s">
        <v>35</v>
      </c>
      <c r="G17" s="10" t="s">
        <v>35</v>
      </c>
      <c r="H17" s="7" t="s">
        <v>36</v>
      </c>
      <c r="I17" s="11">
        <v>659900</v>
      </c>
      <c r="L17" s="7" t="s">
        <v>75</v>
      </c>
      <c r="M17" s="7" t="s">
        <v>32</v>
      </c>
      <c r="N17" s="7" t="s">
        <v>32</v>
      </c>
      <c r="Q17" s="7">
        <v>51.13</v>
      </c>
      <c r="S17" s="7">
        <v>410</v>
      </c>
      <c r="T17" s="7" t="s">
        <v>38</v>
      </c>
      <c r="U17" s="7" t="s">
        <v>39</v>
      </c>
      <c r="V17" s="7" t="s">
        <v>39</v>
      </c>
      <c r="W17" s="7">
        <f t="shared" si="0"/>
        <v>12.470731707317073</v>
      </c>
      <c r="X17" s="7">
        <v>170</v>
      </c>
      <c r="Y17" s="7">
        <v>130</v>
      </c>
      <c r="Z17" s="7">
        <v>290</v>
      </c>
      <c r="AA17" s="7" t="s">
        <v>40</v>
      </c>
      <c r="AB17" s="11">
        <v>1965</v>
      </c>
      <c r="AC17" s="12">
        <v>1830</v>
      </c>
      <c r="AD17" s="12">
        <v>4310</v>
      </c>
      <c r="AE17" s="12">
        <v>1675</v>
      </c>
      <c r="AF17" s="12">
        <v>2620</v>
      </c>
    </row>
    <row r="18" spans="1:32">
      <c r="A18" s="7" t="s">
        <v>32</v>
      </c>
      <c r="B18" s="10" t="s">
        <v>77</v>
      </c>
      <c r="C18" s="10" t="s">
        <v>77</v>
      </c>
      <c r="D18" s="10" t="s">
        <v>59</v>
      </c>
      <c r="E18" s="7" t="str">
        <f t="shared" si="1"/>
        <v>BYD Seal 6 Dynamic</v>
      </c>
      <c r="F18" s="10" t="s">
        <v>53</v>
      </c>
      <c r="G18" s="10" t="s">
        <v>53</v>
      </c>
      <c r="H18" s="7" t="s">
        <v>36</v>
      </c>
      <c r="I18" s="11">
        <v>899900</v>
      </c>
      <c r="L18" s="7" t="s">
        <v>78</v>
      </c>
      <c r="M18" s="7" t="s">
        <v>32</v>
      </c>
      <c r="N18" s="7" t="s">
        <v>32</v>
      </c>
      <c r="Q18" s="7">
        <v>56.64</v>
      </c>
      <c r="S18" s="10">
        <v>485</v>
      </c>
      <c r="T18" s="7" t="s">
        <v>38</v>
      </c>
      <c r="U18" s="7" t="s">
        <v>39</v>
      </c>
      <c r="V18" s="7" t="s">
        <v>39</v>
      </c>
      <c r="W18" s="7">
        <f t="shared" si="0"/>
        <v>11.678350515463917</v>
      </c>
      <c r="X18" s="7">
        <v>175</v>
      </c>
      <c r="Y18" s="7">
        <v>95</v>
      </c>
      <c r="Z18" s="7">
        <v>220</v>
      </c>
      <c r="AA18" s="7" t="s">
        <v>40</v>
      </c>
      <c r="AB18" s="11">
        <v>2190</v>
      </c>
      <c r="AC18" s="12">
        <v>1875</v>
      </c>
      <c r="AD18" s="12">
        <v>4830</v>
      </c>
      <c r="AE18" s="12">
        <v>1495</v>
      </c>
      <c r="AF18" s="12">
        <v>2790</v>
      </c>
    </row>
    <row r="19" spans="1:32">
      <c r="A19" s="7" t="s">
        <v>32</v>
      </c>
      <c r="B19" s="10" t="s">
        <v>79</v>
      </c>
      <c r="C19" s="10" t="s">
        <v>79</v>
      </c>
      <c r="D19" s="10" t="s">
        <v>72</v>
      </c>
      <c r="E19" s="7" t="str">
        <f t="shared" si="1"/>
        <v>BYD Seal6 Premium</v>
      </c>
      <c r="F19" s="10" t="s">
        <v>53</v>
      </c>
      <c r="G19" s="10" t="s">
        <v>53</v>
      </c>
      <c r="H19" s="7" t="s">
        <v>36</v>
      </c>
      <c r="I19" s="11">
        <v>949900</v>
      </c>
      <c r="L19" s="7" t="s">
        <v>78</v>
      </c>
      <c r="M19" s="7" t="s">
        <v>32</v>
      </c>
      <c r="N19" s="7" t="s">
        <v>32</v>
      </c>
      <c r="Q19" s="7">
        <v>56.64</v>
      </c>
      <c r="S19" s="10">
        <v>485</v>
      </c>
      <c r="T19" s="7" t="s">
        <v>38</v>
      </c>
      <c r="U19" s="7" t="s">
        <v>39</v>
      </c>
      <c r="V19" s="7" t="s">
        <v>39</v>
      </c>
      <c r="W19" s="7">
        <f t="shared" si="0"/>
        <v>11.678350515463917</v>
      </c>
      <c r="X19" s="7">
        <v>175</v>
      </c>
      <c r="Y19" s="7">
        <v>160</v>
      </c>
      <c r="Z19" s="7">
        <v>330</v>
      </c>
      <c r="AA19" s="7" t="s">
        <v>40</v>
      </c>
      <c r="AB19" s="11">
        <v>2210</v>
      </c>
      <c r="AC19" s="12">
        <v>1875</v>
      </c>
      <c r="AD19" s="12">
        <v>4830</v>
      </c>
      <c r="AE19" s="12">
        <v>1495</v>
      </c>
      <c r="AF19" s="12">
        <v>2790</v>
      </c>
    </row>
    <row r="20" spans="1:32">
      <c r="A20" s="7" t="s">
        <v>80</v>
      </c>
      <c r="B20" s="10" t="s">
        <v>81</v>
      </c>
      <c r="C20" s="10" t="s">
        <v>81</v>
      </c>
      <c r="D20" s="7" t="s">
        <v>82</v>
      </c>
      <c r="E20" s="7" t="str">
        <f t="shared" si="1"/>
        <v>Denza D9 Premium (FWD)</v>
      </c>
      <c r="F20" s="10" t="s">
        <v>60</v>
      </c>
      <c r="G20" s="7" t="s">
        <v>60</v>
      </c>
      <c r="H20" s="7" t="s">
        <v>36</v>
      </c>
      <c r="I20" s="11">
        <v>1949900</v>
      </c>
      <c r="L20" s="7" t="s">
        <v>83</v>
      </c>
      <c r="M20" s="7" t="s">
        <v>32</v>
      </c>
      <c r="N20" s="7" t="s">
        <v>32</v>
      </c>
      <c r="Q20" s="7">
        <v>103.36</v>
      </c>
      <c r="S20" s="7">
        <v>600</v>
      </c>
      <c r="T20" s="7" t="s">
        <v>84</v>
      </c>
      <c r="U20" s="7" t="s">
        <v>39</v>
      </c>
      <c r="V20" s="7" t="s">
        <v>85</v>
      </c>
      <c r="W20" s="7">
        <f t="shared" si="0"/>
        <v>17.226666666666667</v>
      </c>
      <c r="X20" s="7">
        <v>155</v>
      </c>
      <c r="Y20" s="7">
        <v>230</v>
      </c>
      <c r="Z20" s="7">
        <v>360</v>
      </c>
      <c r="AA20" s="7" t="s">
        <v>40</v>
      </c>
      <c r="AB20" s="11">
        <v>3338</v>
      </c>
      <c r="AC20" s="12">
        <v>1960</v>
      </c>
      <c r="AD20" s="12">
        <v>5250</v>
      </c>
      <c r="AE20" s="12">
        <v>1920</v>
      </c>
      <c r="AF20" s="12">
        <v>3110</v>
      </c>
    </row>
    <row r="21" spans="1:32">
      <c r="A21" s="7" t="s">
        <v>80</v>
      </c>
      <c r="B21" s="10" t="s">
        <v>81</v>
      </c>
      <c r="C21" s="10" t="s">
        <v>81</v>
      </c>
      <c r="D21" s="15" t="s">
        <v>67</v>
      </c>
      <c r="E21" s="7" t="str">
        <f t="shared" si="1"/>
        <v>Denza D9 Performance AWD</v>
      </c>
      <c r="F21" s="10" t="s">
        <v>60</v>
      </c>
      <c r="G21" s="7" t="s">
        <v>60</v>
      </c>
      <c r="H21" s="7" t="s">
        <v>36</v>
      </c>
      <c r="I21" s="11">
        <v>2399900</v>
      </c>
      <c r="L21" s="7" t="s">
        <v>83</v>
      </c>
      <c r="M21" s="7" t="s">
        <v>32</v>
      </c>
      <c r="N21" s="7" t="s">
        <v>32</v>
      </c>
      <c r="Q21" s="7">
        <v>103.36</v>
      </c>
      <c r="S21" s="7">
        <v>580</v>
      </c>
      <c r="T21" s="7" t="s">
        <v>84</v>
      </c>
      <c r="U21" s="7" t="s">
        <v>39</v>
      </c>
      <c r="V21" s="7" t="s">
        <v>85</v>
      </c>
      <c r="W21" s="7">
        <f t="shared" si="0"/>
        <v>17.820689655172416</v>
      </c>
      <c r="X21" s="7">
        <v>155</v>
      </c>
      <c r="Y21" s="7">
        <v>275</v>
      </c>
      <c r="Z21" s="7">
        <v>470</v>
      </c>
      <c r="AA21" s="7" t="s">
        <v>40</v>
      </c>
      <c r="AB21" s="11">
        <v>3439</v>
      </c>
      <c r="AC21" s="12">
        <v>1960</v>
      </c>
      <c r="AD21" s="12">
        <v>5250</v>
      </c>
      <c r="AE21" s="12">
        <v>1920</v>
      </c>
      <c r="AF21" s="12">
        <v>3110</v>
      </c>
    </row>
    <row r="22" spans="1:32">
      <c r="A22" s="7" t="s">
        <v>86</v>
      </c>
      <c r="B22" s="7" t="s">
        <v>87</v>
      </c>
      <c r="C22" s="7" t="s">
        <v>87</v>
      </c>
      <c r="D22" s="7" t="s">
        <v>88</v>
      </c>
      <c r="E22" s="7" t="str">
        <f t="shared" si="1"/>
        <v>MG EP(2020) Standard</v>
      </c>
      <c r="F22" s="7" t="s">
        <v>89</v>
      </c>
      <c r="G22" s="7" t="s">
        <v>89</v>
      </c>
      <c r="H22" s="7" t="s">
        <v>36</v>
      </c>
      <c r="I22" s="11">
        <v>988000</v>
      </c>
      <c r="L22" s="7" t="s">
        <v>90</v>
      </c>
      <c r="M22" s="7" t="s">
        <v>91</v>
      </c>
      <c r="N22" s="7" t="s">
        <v>91</v>
      </c>
      <c r="Q22" s="7">
        <v>50.3</v>
      </c>
      <c r="S22" s="7">
        <v>380</v>
      </c>
      <c r="T22" s="7" t="s">
        <v>38</v>
      </c>
      <c r="U22" s="7" t="s">
        <v>92</v>
      </c>
      <c r="V22" s="7" t="s">
        <v>92</v>
      </c>
      <c r="W22" s="7">
        <f t="shared" si="0"/>
        <v>13.236842105263158</v>
      </c>
      <c r="X22" s="7">
        <v>115</v>
      </c>
      <c r="Y22" s="7">
        <v>120</v>
      </c>
      <c r="Z22" s="7">
        <v>260</v>
      </c>
      <c r="AA22" s="7" t="s">
        <v>40</v>
      </c>
      <c r="AB22" s="11">
        <v>1600</v>
      </c>
      <c r="AC22" s="12">
        <v>1818</v>
      </c>
      <c r="AD22" s="12">
        <v>4544</v>
      </c>
      <c r="AE22" s="12">
        <v>1543</v>
      </c>
      <c r="AF22" s="12">
        <v>2665</v>
      </c>
    </row>
    <row r="23" spans="1:32" ht="15.75" customHeight="1">
      <c r="A23" s="7" t="s">
        <v>86</v>
      </c>
      <c r="B23" s="7" t="s">
        <v>93</v>
      </c>
      <c r="C23" s="7" t="s">
        <v>93</v>
      </c>
      <c r="D23" s="7" t="s">
        <v>88</v>
      </c>
      <c r="E23" s="7" t="str">
        <f t="shared" si="1"/>
        <v>MG EP  Standard</v>
      </c>
      <c r="F23" s="7" t="s">
        <v>89</v>
      </c>
      <c r="G23" s="7" t="s">
        <v>89</v>
      </c>
      <c r="H23" s="7" t="s">
        <v>36</v>
      </c>
      <c r="I23" s="11">
        <v>771000</v>
      </c>
      <c r="L23" s="7" t="s">
        <v>90</v>
      </c>
      <c r="M23" s="7" t="s">
        <v>91</v>
      </c>
      <c r="N23" s="7" t="s">
        <v>91</v>
      </c>
      <c r="Q23" s="7">
        <v>50.3</v>
      </c>
      <c r="S23" s="7">
        <v>380</v>
      </c>
      <c r="T23" s="7" t="s">
        <v>38</v>
      </c>
      <c r="U23" s="7" t="s">
        <v>92</v>
      </c>
      <c r="V23" s="7" t="s">
        <v>92</v>
      </c>
      <c r="W23" s="7">
        <f t="shared" si="0"/>
        <v>13.236842105263158</v>
      </c>
      <c r="X23" s="7">
        <v>115</v>
      </c>
      <c r="Y23" s="7">
        <v>120</v>
      </c>
      <c r="Z23" s="7">
        <v>260</v>
      </c>
      <c r="AA23" s="7" t="s">
        <v>40</v>
      </c>
      <c r="AB23" s="11">
        <v>1600</v>
      </c>
      <c r="AC23" s="12">
        <v>1818</v>
      </c>
      <c r="AD23" s="12">
        <v>4544</v>
      </c>
      <c r="AE23" s="12">
        <v>1543</v>
      </c>
      <c r="AF23" s="12">
        <v>2665</v>
      </c>
    </row>
    <row r="24" spans="1:32">
      <c r="A24" s="7" t="s">
        <v>86</v>
      </c>
      <c r="B24" s="7" t="s">
        <v>94</v>
      </c>
      <c r="C24" s="7" t="s">
        <v>94</v>
      </c>
      <c r="D24" s="7" t="s">
        <v>88</v>
      </c>
      <c r="E24" s="7" t="str">
        <f t="shared" si="1"/>
        <v>MG ES  Standard</v>
      </c>
      <c r="F24" s="7" t="s">
        <v>89</v>
      </c>
      <c r="G24" s="7" t="s">
        <v>89</v>
      </c>
      <c r="H24" s="7" t="s">
        <v>36</v>
      </c>
      <c r="I24" s="11">
        <v>959000</v>
      </c>
      <c r="L24" s="7" t="s">
        <v>95</v>
      </c>
      <c r="M24" s="7" t="s">
        <v>91</v>
      </c>
      <c r="N24" s="7" t="s">
        <v>91</v>
      </c>
      <c r="Q24" s="7">
        <v>51</v>
      </c>
      <c r="S24" s="7">
        <v>412</v>
      </c>
      <c r="T24" s="7" t="s">
        <v>38</v>
      </c>
      <c r="U24" s="7" t="s">
        <v>92</v>
      </c>
      <c r="V24" s="7" t="s">
        <v>92</v>
      </c>
      <c r="W24" s="7">
        <f t="shared" si="0"/>
        <v>12.378640776699029</v>
      </c>
      <c r="X24" s="7">
        <v>115</v>
      </c>
      <c r="Y24" s="7">
        <v>177</v>
      </c>
      <c r="Z24" s="7">
        <v>280</v>
      </c>
      <c r="AA24" s="7" t="s">
        <v>40</v>
      </c>
      <c r="AB24" s="11">
        <v>1600</v>
      </c>
      <c r="AC24" s="12">
        <v>1818</v>
      </c>
      <c r="AD24" s="12">
        <v>4544</v>
      </c>
      <c r="AE24" s="12">
        <v>1543</v>
      </c>
      <c r="AF24" s="12">
        <v>2665</v>
      </c>
    </row>
    <row r="25" spans="1:32">
      <c r="A25" s="7" t="s">
        <v>86</v>
      </c>
      <c r="B25" s="7" t="s">
        <v>96</v>
      </c>
      <c r="C25" s="7" t="s">
        <v>96</v>
      </c>
      <c r="D25" s="7" t="s">
        <v>97</v>
      </c>
      <c r="E25" s="7" t="str">
        <f t="shared" si="1"/>
        <v>MG ZS D</v>
      </c>
      <c r="F25" s="10" t="s">
        <v>35</v>
      </c>
      <c r="G25" s="7" t="s">
        <v>35</v>
      </c>
      <c r="H25" s="7" t="s">
        <v>36</v>
      </c>
      <c r="I25" s="11">
        <v>1190000</v>
      </c>
      <c r="L25" s="7" t="s">
        <v>98</v>
      </c>
      <c r="M25" s="7" t="s">
        <v>91</v>
      </c>
      <c r="N25" s="7" t="s">
        <v>91</v>
      </c>
      <c r="Q25" s="7">
        <v>44.5</v>
      </c>
      <c r="S25" s="7">
        <v>337</v>
      </c>
      <c r="T25" s="7" t="s">
        <v>38</v>
      </c>
      <c r="U25" s="7" t="s">
        <v>92</v>
      </c>
      <c r="V25" s="7" t="s">
        <v>92</v>
      </c>
      <c r="W25" s="7">
        <f t="shared" si="0"/>
        <v>13.204747774480714</v>
      </c>
      <c r="X25" s="7">
        <v>161</v>
      </c>
      <c r="Y25" s="7">
        <v>105</v>
      </c>
      <c r="Z25" s="7">
        <v>353</v>
      </c>
      <c r="AA25" s="7" t="s">
        <v>40</v>
      </c>
      <c r="AB25" s="11">
        <v>1570</v>
      </c>
      <c r="AC25" s="12">
        <v>1809</v>
      </c>
      <c r="AD25" s="12">
        <v>4323</v>
      </c>
      <c r="AE25" s="12">
        <v>1649</v>
      </c>
      <c r="AF25" s="12">
        <v>2585</v>
      </c>
    </row>
    <row r="26" spans="1:32">
      <c r="A26" s="7" t="s">
        <v>86</v>
      </c>
      <c r="B26" s="7" t="s">
        <v>96</v>
      </c>
      <c r="C26" s="7" t="s">
        <v>96</v>
      </c>
      <c r="D26" s="7" t="s">
        <v>99</v>
      </c>
      <c r="E26" s="7" t="str">
        <f t="shared" si="1"/>
        <v>MG ZS X</v>
      </c>
      <c r="F26" s="10" t="s">
        <v>35</v>
      </c>
      <c r="G26" s="7" t="s">
        <v>35</v>
      </c>
      <c r="H26" s="7" t="s">
        <v>36</v>
      </c>
      <c r="I26" s="11">
        <v>1290000</v>
      </c>
      <c r="L26" s="7" t="s">
        <v>98</v>
      </c>
      <c r="M26" s="7" t="s">
        <v>91</v>
      </c>
      <c r="N26" s="7" t="s">
        <v>91</v>
      </c>
      <c r="Q26" s="7">
        <v>44.5</v>
      </c>
      <c r="S26" s="7">
        <v>337</v>
      </c>
      <c r="T26" s="7" t="s">
        <v>38</v>
      </c>
      <c r="U26" s="7" t="s">
        <v>92</v>
      </c>
      <c r="V26" s="7" t="s">
        <v>92</v>
      </c>
      <c r="W26" s="7">
        <f t="shared" si="0"/>
        <v>13.204747774480714</v>
      </c>
      <c r="X26" s="7">
        <v>161</v>
      </c>
      <c r="Y26" s="7">
        <v>105</v>
      </c>
      <c r="Z26" s="7">
        <v>353</v>
      </c>
      <c r="AA26" s="7" t="s">
        <v>40</v>
      </c>
      <c r="AB26" s="11">
        <v>1570</v>
      </c>
      <c r="AC26" s="12">
        <v>1809</v>
      </c>
      <c r="AD26" s="12">
        <v>4323</v>
      </c>
      <c r="AE26" s="12">
        <v>1649</v>
      </c>
      <c r="AF26" s="12">
        <v>2585</v>
      </c>
    </row>
    <row r="27" spans="1:32">
      <c r="A27" s="7" t="s">
        <v>86</v>
      </c>
      <c r="B27" s="7" t="s">
        <v>96</v>
      </c>
      <c r="C27" s="7" t="s">
        <v>96</v>
      </c>
      <c r="D27" s="7" t="s">
        <v>97</v>
      </c>
      <c r="E27" s="7" t="str">
        <f t="shared" si="1"/>
        <v>MG ZS D</v>
      </c>
      <c r="F27" s="10" t="s">
        <v>35</v>
      </c>
      <c r="G27" s="7" t="s">
        <v>35</v>
      </c>
      <c r="H27" s="7" t="s">
        <v>36</v>
      </c>
      <c r="I27" s="11">
        <v>829900</v>
      </c>
      <c r="L27" s="7" t="s">
        <v>100</v>
      </c>
      <c r="M27" s="7" t="s">
        <v>91</v>
      </c>
      <c r="N27" s="7" t="s">
        <v>91</v>
      </c>
      <c r="Q27" s="7">
        <v>50.3</v>
      </c>
      <c r="S27" s="7">
        <v>403</v>
      </c>
      <c r="T27" s="7" t="s">
        <v>38</v>
      </c>
      <c r="U27" s="7" t="s">
        <v>92</v>
      </c>
      <c r="V27" s="7" t="s">
        <v>92</v>
      </c>
      <c r="W27" s="7">
        <f t="shared" si="0"/>
        <v>12.481389578163771</v>
      </c>
      <c r="X27" s="7">
        <v>161</v>
      </c>
      <c r="Y27" s="7">
        <v>130</v>
      </c>
      <c r="Z27" s="7">
        <v>280</v>
      </c>
      <c r="AA27" s="7" t="s">
        <v>40</v>
      </c>
      <c r="AB27" s="11">
        <v>1610</v>
      </c>
      <c r="AC27" s="12">
        <v>1809</v>
      </c>
      <c r="AD27" s="12">
        <v>4323</v>
      </c>
      <c r="AE27" s="12">
        <v>1649</v>
      </c>
      <c r="AF27" s="12">
        <v>2585</v>
      </c>
    </row>
    <row r="28" spans="1:32">
      <c r="A28" s="7" t="s">
        <v>86</v>
      </c>
      <c r="B28" s="7" t="s">
        <v>96</v>
      </c>
      <c r="C28" s="7" t="s">
        <v>96</v>
      </c>
      <c r="D28" s="7" t="s">
        <v>99</v>
      </c>
      <c r="E28" s="7" t="str">
        <f t="shared" si="1"/>
        <v>MG ZS X</v>
      </c>
      <c r="F28" s="10" t="s">
        <v>35</v>
      </c>
      <c r="G28" s="7" t="s">
        <v>35</v>
      </c>
      <c r="H28" s="7" t="s">
        <v>36</v>
      </c>
      <c r="I28" s="11">
        <v>899900</v>
      </c>
      <c r="L28" s="7" t="s">
        <v>100</v>
      </c>
      <c r="M28" s="7" t="s">
        <v>91</v>
      </c>
      <c r="N28" s="7" t="s">
        <v>91</v>
      </c>
      <c r="Q28" s="7">
        <v>50.3</v>
      </c>
      <c r="S28" s="7">
        <v>403</v>
      </c>
      <c r="T28" s="7" t="s">
        <v>38</v>
      </c>
      <c r="U28" s="7" t="s">
        <v>92</v>
      </c>
      <c r="V28" s="7" t="s">
        <v>92</v>
      </c>
      <c r="W28" s="7">
        <f t="shared" si="0"/>
        <v>12.481389578163771</v>
      </c>
      <c r="X28" s="7">
        <v>161</v>
      </c>
      <c r="Y28" s="7">
        <v>130</v>
      </c>
      <c r="Z28" s="7">
        <v>280</v>
      </c>
      <c r="AA28" s="7" t="s">
        <v>40</v>
      </c>
      <c r="AB28" s="11">
        <v>1610</v>
      </c>
      <c r="AC28" s="12">
        <v>1809</v>
      </c>
      <c r="AD28" s="12">
        <v>4323</v>
      </c>
      <c r="AE28" s="12">
        <v>1649</v>
      </c>
      <c r="AF28" s="12">
        <v>2585</v>
      </c>
    </row>
    <row r="29" spans="1:32">
      <c r="A29" s="7" t="s">
        <v>86</v>
      </c>
      <c r="B29" s="7" t="s">
        <v>96</v>
      </c>
      <c r="C29" s="7" t="s">
        <v>96</v>
      </c>
      <c r="D29" s="7" t="s">
        <v>101</v>
      </c>
      <c r="E29" s="7" t="str">
        <f t="shared" si="1"/>
        <v>MG ZS 100TH SE</v>
      </c>
      <c r="F29" s="10" t="s">
        <v>35</v>
      </c>
      <c r="G29" s="7" t="s">
        <v>35</v>
      </c>
      <c r="H29" s="7" t="s">
        <v>36</v>
      </c>
      <c r="I29" s="11">
        <v>899900</v>
      </c>
      <c r="L29" s="7" t="s">
        <v>100</v>
      </c>
      <c r="M29" s="7" t="s">
        <v>91</v>
      </c>
      <c r="N29" s="7" t="s">
        <v>91</v>
      </c>
      <c r="Q29" s="7">
        <v>50.3</v>
      </c>
      <c r="S29" s="7">
        <v>403</v>
      </c>
      <c r="T29" s="7" t="s">
        <v>38</v>
      </c>
      <c r="U29" s="7" t="s">
        <v>39</v>
      </c>
      <c r="V29" s="7" t="s">
        <v>39</v>
      </c>
      <c r="W29" s="7">
        <f t="shared" si="0"/>
        <v>12.481389578163771</v>
      </c>
      <c r="X29" s="7">
        <v>161</v>
      </c>
      <c r="Y29" s="7">
        <v>130</v>
      </c>
      <c r="Z29" s="7">
        <v>280</v>
      </c>
      <c r="AA29" s="7" t="s">
        <v>40</v>
      </c>
      <c r="AB29" s="11">
        <v>1610</v>
      </c>
      <c r="AC29" s="12">
        <v>1809</v>
      </c>
      <c r="AD29" s="12">
        <v>4323</v>
      </c>
      <c r="AE29" s="12">
        <v>1649</v>
      </c>
      <c r="AF29" s="12">
        <v>2585</v>
      </c>
    </row>
    <row r="30" spans="1:32" ht="17.45" customHeight="1">
      <c r="A30" s="7" t="s">
        <v>86</v>
      </c>
      <c r="B30" s="7" t="s">
        <v>102</v>
      </c>
      <c r="C30" s="7" t="s">
        <v>103</v>
      </c>
      <c r="D30" s="7" t="s">
        <v>104</v>
      </c>
      <c r="E30" s="7" t="str">
        <f t="shared" si="1"/>
        <v>MG MG 4 Electric D Standard Range</v>
      </c>
      <c r="F30" s="10" t="s">
        <v>47</v>
      </c>
      <c r="G30" s="7" t="s">
        <v>47</v>
      </c>
      <c r="H30" s="7" t="s">
        <v>36</v>
      </c>
      <c r="I30" s="11">
        <v>709900</v>
      </c>
      <c r="L30" s="7" t="s">
        <v>105</v>
      </c>
      <c r="M30" s="25" t="s">
        <v>106</v>
      </c>
      <c r="N30" s="7" t="s">
        <v>107</v>
      </c>
      <c r="Q30" s="7">
        <v>49</v>
      </c>
      <c r="S30" s="7">
        <v>423</v>
      </c>
      <c r="T30" s="7" t="s">
        <v>38</v>
      </c>
      <c r="U30" s="7" t="s">
        <v>39</v>
      </c>
      <c r="V30" s="7" t="s">
        <v>39</v>
      </c>
      <c r="W30" s="7">
        <f t="shared" si="0"/>
        <v>11.583924349881796</v>
      </c>
      <c r="X30" s="7">
        <v>150</v>
      </c>
      <c r="Y30" s="7">
        <v>125</v>
      </c>
      <c r="Z30" s="7">
        <v>250</v>
      </c>
      <c r="AA30" s="7" t="s">
        <v>40</v>
      </c>
      <c r="AB30" s="11">
        <v>1620</v>
      </c>
      <c r="AC30" s="12">
        <v>1836</v>
      </c>
      <c r="AD30" s="12">
        <v>4287</v>
      </c>
      <c r="AE30" s="12">
        <v>1516</v>
      </c>
      <c r="AF30" s="12">
        <v>2705</v>
      </c>
    </row>
    <row r="31" spans="1:32">
      <c r="A31" s="7" t="s">
        <v>86</v>
      </c>
      <c r="B31" s="7" t="s">
        <v>102</v>
      </c>
      <c r="C31" s="7" t="s">
        <v>103</v>
      </c>
      <c r="D31" s="7" t="s">
        <v>108</v>
      </c>
      <c r="E31" s="7" t="str">
        <f t="shared" si="1"/>
        <v>MG MG 4 Electric X Long Range</v>
      </c>
      <c r="F31" s="10" t="s">
        <v>47</v>
      </c>
      <c r="G31" s="7" t="s">
        <v>47</v>
      </c>
      <c r="H31" s="7" t="s">
        <v>36</v>
      </c>
      <c r="I31" s="11">
        <v>999900</v>
      </c>
      <c r="L31" s="7" t="s">
        <v>109</v>
      </c>
      <c r="M31" s="7" t="s">
        <v>91</v>
      </c>
      <c r="N31" s="7" t="s">
        <v>91</v>
      </c>
      <c r="Q31" s="7">
        <v>64</v>
      </c>
      <c r="S31" s="7">
        <v>540</v>
      </c>
      <c r="T31" s="7" t="s">
        <v>38</v>
      </c>
      <c r="U31" s="7" t="s">
        <v>92</v>
      </c>
      <c r="V31" s="7" t="s">
        <v>92</v>
      </c>
      <c r="W31" s="7">
        <f t="shared" si="0"/>
        <v>11.851851851851853</v>
      </c>
      <c r="X31" s="7">
        <v>150</v>
      </c>
      <c r="Y31" s="7">
        <v>150</v>
      </c>
      <c r="Z31" s="7">
        <v>250</v>
      </c>
      <c r="AA31" s="7" t="s">
        <v>40</v>
      </c>
      <c r="AB31" s="11">
        <v>1685</v>
      </c>
      <c r="AC31" s="12">
        <v>1836</v>
      </c>
      <c r="AD31" s="12">
        <v>4287</v>
      </c>
      <c r="AE31" s="12">
        <v>1516</v>
      </c>
      <c r="AF31" s="12">
        <v>2705</v>
      </c>
    </row>
    <row r="32" spans="1:32">
      <c r="A32" s="7" t="s">
        <v>86</v>
      </c>
      <c r="B32" s="7" t="s">
        <v>102</v>
      </c>
      <c r="C32" s="7" t="s">
        <v>103</v>
      </c>
      <c r="D32" s="7" t="s">
        <v>110</v>
      </c>
      <c r="E32" s="7" t="str">
        <f t="shared" si="1"/>
        <v>MG MG 4 Electric XPower</v>
      </c>
      <c r="F32" s="10" t="s">
        <v>47</v>
      </c>
      <c r="G32" s="7" t="s">
        <v>47</v>
      </c>
      <c r="H32" s="7" t="s">
        <v>36</v>
      </c>
      <c r="I32" s="11">
        <v>1119900</v>
      </c>
      <c r="L32" s="7" t="s">
        <v>109</v>
      </c>
      <c r="M32" s="7" t="s">
        <v>91</v>
      </c>
      <c r="N32" s="7" t="s">
        <v>91</v>
      </c>
      <c r="Q32" s="7">
        <v>64</v>
      </c>
      <c r="S32" s="7">
        <v>480</v>
      </c>
      <c r="T32" s="7" t="s">
        <v>38</v>
      </c>
      <c r="U32" s="7" t="s">
        <v>92</v>
      </c>
      <c r="V32" s="7" t="s">
        <v>92</v>
      </c>
      <c r="W32" s="7">
        <f t="shared" si="0"/>
        <v>13.333333333333334</v>
      </c>
      <c r="X32" s="7">
        <v>150</v>
      </c>
      <c r="Y32" s="7">
        <v>320</v>
      </c>
      <c r="Z32" s="7">
        <v>600</v>
      </c>
      <c r="AA32" s="7" t="s">
        <v>40</v>
      </c>
      <c r="AB32" s="11">
        <v>1800</v>
      </c>
      <c r="AC32" s="12">
        <v>1836</v>
      </c>
      <c r="AD32" s="12">
        <v>4287</v>
      </c>
      <c r="AE32" s="12">
        <v>1504</v>
      </c>
      <c r="AF32" s="12">
        <v>2705</v>
      </c>
    </row>
    <row r="33" spans="1:32">
      <c r="A33" s="7" t="s">
        <v>86</v>
      </c>
      <c r="B33" s="7" t="s">
        <v>102</v>
      </c>
      <c r="C33" s="7" t="s">
        <v>102</v>
      </c>
      <c r="D33" s="7" t="s">
        <v>104</v>
      </c>
      <c r="E33" s="7" t="str">
        <f t="shared" si="1"/>
        <v>MG 4 EV D Standard Range</v>
      </c>
      <c r="F33" s="10" t="s">
        <v>47</v>
      </c>
      <c r="G33" s="7" t="s">
        <v>47</v>
      </c>
      <c r="H33" s="7" t="s">
        <v>36</v>
      </c>
      <c r="I33" s="11">
        <v>599900</v>
      </c>
      <c r="L33" s="7" t="s">
        <v>105</v>
      </c>
      <c r="M33" s="25" t="s">
        <v>106</v>
      </c>
      <c r="N33" s="7" t="s">
        <v>107</v>
      </c>
      <c r="Q33" s="7">
        <v>49</v>
      </c>
      <c r="S33" s="7">
        <v>423</v>
      </c>
      <c r="T33" s="7" t="s">
        <v>38</v>
      </c>
      <c r="U33" s="7" t="s">
        <v>39</v>
      </c>
      <c r="V33" s="7" t="s">
        <v>39</v>
      </c>
      <c r="W33" s="7">
        <f t="shared" si="0"/>
        <v>11.583924349881796</v>
      </c>
      <c r="X33" s="7">
        <v>150</v>
      </c>
      <c r="Y33" s="7">
        <v>125</v>
      </c>
      <c r="Z33" s="7">
        <v>250</v>
      </c>
      <c r="AA33" s="7" t="s">
        <v>40</v>
      </c>
      <c r="AB33" s="11">
        <v>1620</v>
      </c>
      <c r="AC33" s="12">
        <v>1836</v>
      </c>
      <c r="AD33" s="12">
        <v>4287</v>
      </c>
      <c r="AE33" s="12">
        <v>1516</v>
      </c>
      <c r="AF33" s="12">
        <v>2705</v>
      </c>
    </row>
    <row r="34" spans="1:32">
      <c r="A34" s="7" t="s">
        <v>86</v>
      </c>
      <c r="B34" s="7" t="s">
        <v>102</v>
      </c>
      <c r="C34" s="7" t="s">
        <v>103</v>
      </c>
      <c r="D34" s="7" t="s">
        <v>111</v>
      </c>
      <c r="E34" s="7" t="str">
        <f t="shared" si="1"/>
        <v>MG MG 4 Electric D Long Range</v>
      </c>
      <c r="F34" s="10" t="s">
        <v>47</v>
      </c>
      <c r="G34" s="7" t="s">
        <v>47</v>
      </c>
      <c r="H34" s="7" t="s">
        <v>36</v>
      </c>
      <c r="I34" s="11">
        <v>769900</v>
      </c>
      <c r="L34" s="7" t="s">
        <v>109</v>
      </c>
      <c r="M34" s="7" t="s">
        <v>91</v>
      </c>
      <c r="N34" s="7" t="s">
        <v>91</v>
      </c>
      <c r="Q34" s="7">
        <v>64</v>
      </c>
      <c r="S34" s="7">
        <v>540</v>
      </c>
      <c r="T34" s="7" t="s">
        <v>38</v>
      </c>
      <c r="U34" s="7" t="s">
        <v>92</v>
      </c>
      <c r="V34" s="7" t="s">
        <v>92</v>
      </c>
      <c r="W34" s="7">
        <f t="shared" si="0"/>
        <v>11.851851851851853</v>
      </c>
      <c r="X34" s="7">
        <v>150</v>
      </c>
      <c r="Y34" s="7">
        <v>150</v>
      </c>
      <c r="Z34" s="7">
        <v>250</v>
      </c>
      <c r="AA34" s="7" t="s">
        <v>40</v>
      </c>
      <c r="AB34" s="11">
        <v>1685</v>
      </c>
      <c r="AC34" s="12">
        <v>1836</v>
      </c>
      <c r="AD34" s="12">
        <v>4287</v>
      </c>
      <c r="AE34" s="12">
        <v>1516</v>
      </c>
      <c r="AF34" s="12">
        <v>2705</v>
      </c>
    </row>
    <row r="35" spans="1:32">
      <c r="A35" s="7" t="s">
        <v>86</v>
      </c>
      <c r="B35" s="7" t="s">
        <v>102</v>
      </c>
      <c r="C35" s="7" t="s">
        <v>103</v>
      </c>
      <c r="D35" s="7" t="s">
        <v>104</v>
      </c>
      <c r="E35" s="7" t="str">
        <f t="shared" si="1"/>
        <v>MG MG 4 Electric D Standard Range</v>
      </c>
      <c r="F35" s="10" t="s">
        <v>47</v>
      </c>
      <c r="G35" s="7" t="s">
        <v>47</v>
      </c>
      <c r="H35" s="7" t="s">
        <v>36</v>
      </c>
      <c r="I35" s="11">
        <v>669900</v>
      </c>
      <c r="L35" s="7" t="s">
        <v>112</v>
      </c>
      <c r="M35" s="7" t="s">
        <v>91</v>
      </c>
      <c r="N35" s="7" t="s">
        <v>91</v>
      </c>
      <c r="Q35" s="7">
        <v>50</v>
      </c>
      <c r="S35" s="7">
        <v>450</v>
      </c>
      <c r="T35" s="7" t="s">
        <v>38</v>
      </c>
      <c r="U35" s="7" t="s">
        <v>39</v>
      </c>
      <c r="V35" s="7" t="s">
        <v>39</v>
      </c>
      <c r="W35" s="7">
        <f t="shared" si="0"/>
        <v>11.111111111111111</v>
      </c>
      <c r="X35" s="7">
        <v>117</v>
      </c>
      <c r="Y35" s="7">
        <v>125</v>
      </c>
      <c r="Z35" s="7">
        <v>250</v>
      </c>
      <c r="AA35" s="7" t="s">
        <v>40</v>
      </c>
      <c r="AB35" s="11">
        <v>1650</v>
      </c>
      <c r="AC35" s="12">
        <v>1836</v>
      </c>
      <c r="AD35" s="12">
        <v>4287</v>
      </c>
      <c r="AE35" s="12">
        <v>1516</v>
      </c>
      <c r="AF35" s="12">
        <v>2705</v>
      </c>
    </row>
    <row r="36" spans="1:32">
      <c r="A36" s="7" t="s">
        <v>86</v>
      </c>
      <c r="B36" s="7" t="s">
        <v>102</v>
      </c>
      <c r="C36" s="7" t="s">
        <v>103</v>
      </c>
      <c r="D36" s="7" t="s">
        <v>108</v>
      </c>
      <c r="E36" s="7" t="str">
        <f t="shared" si="1"/>
        <v>MG MG 4 Electric X Long Range</v>
      </c>
      <c r="F36" s="10" t="s">
        <v>47</v>
      </c>
      <c r="G36" s="7" t="s">
        <v>47</v>
      </c>
      <c r="H36" s="7" t="s">
        <v>36</v>
      </c>
      <c r="I36" s="11">
        <v>749900</v>
      </c>
      <c r="L36" s="7" t="s">
        <v>112</v>
      </c>
      <c r="M36" s="7" t="s">
        <v>91</v>
      </c>
      <c r="N36" s="7" t="s">
        <v>91</v>
      </c>
      <c r="Q36" s="7">
        <v>62.2</v>
      </c>
      <c r="S36" s="7">
        <v>540</v>
      </c>
      <c r="T36" s="7" t="s">
        <v>38</v>
      </c>
      <c r="U36" s="7" t="s">
        <v>92</v>
      </c>
      <c r="V36" s="7" t="s">
        <v>92</v>
      </c>
      <c r="W36" s="7">
        <f t="shared" si="0"/>
        <v>11.518518518518519</v>
      </c>
      <c r="X36" s="7">
        <v>117</v>
      </c>
      <c r="Y36" s="7">
        <v>180</v>
      </c>
      <c r="Z36" s="7">
        <v>350</v>
      </c>
      <c r="AA36" s="7" t="s">
        <v>40</v>
      </c>
      <c r="AB36" s="11">
        <v>1650</v>
      </c>
      <c r="AC36" s="12">
        <v>1836</v>
      </c>
      <c r="AD36" s="12">
        <v>4287</v>
      </c>
      <c r="AE36" s="12">
        <v>1516</v>
      </c>
      <c r="AF36" s="12">
        <v>2705</v>
      </c>
    </row>
    <row r="37" spans="1:32">
      <c r="A37" s="7" t="s">
        <v>86</v>
      </c>
      <c r="B37" s="7" t="s">
        <v>113</v>
      </c>
      <c r="C37" s="7" t="s">
        <v>114</v>
      </c>
      <c r="D37" s="7" t="s">
        <v>115</v>
      </c>
      <c r="E37" s="7" t="str">
        <f t="shared" si="1"/>
        <v>MG S5 EV D+</v>
      </c>
      <c r="F37" s="10" t="s">
        <v>35</v>
      </c>
      <c r="G37" s="7" t="s">
        <v>35</v>
      </c>
      <c r="H37" s="7" t="s">
        <v>36</v>
      </c>
      <c r="I37" s="11">
        <v>749900</v>
      </c>
      <c r="L37" s="7" t="s">
        <v>56</v>
      </c>
      <c r="M37" s="7" t="s">
        <v>91</v>
      </c>
      <c r="N37" s="7" t="s">
        <v>91</v>
      </c>
      <c r="Q37" s="7">
        <v>50</v>
      </c>
      <c r="S37" s="7">
        <v>416</v>
      </c>
      <c r="T37" s="7" t="s">
        <v>38</v>
      </c>
      <c r="U37" s="7" t="s">
        <v>39</v>
      </c>
      <c r="V37" s="7" t="s">
        <v>39</v>
      </c>
      <c r="W37" s="7">
        <f t="shared" si="0"/>
        <v>12.01923076923077</v>
      </c>
      <c r="X37" s="7">
        <v>136</v>
      </c>
      <c r="Y37" s="7">
        <v>125</v>
      </c>
      <c r="Z37" s="7">
        <v>250</v>
      </c>
      <c r="AA37" s="7" t="s">
        <v>40</v>
      </c>
      <c r="AB37" s="11">
        <v>1405</v>
      </c>
      <c r="AC37" s="12">
        <v>1849</v>
      </c>
      <c r="AD37" s="12">
        <v>4476</v>
      </c>
      <c r="AE37" s="12">
        <v>1621</v>
      </c>
      <c r="AF37" s="12">
        <v>2730</v>
      </c>
    </row>
    <row r="38" spans="1:32">
      <c r="A38" s="7" t="s">
        <v>86</v>
      </c>
      <c r="B38" s="7" t="s">
        <v>113</v>
      </c>
      <c r="C38" s="7" t="s">
        <v>113</v>
      </c>
      <c r="D38" s="7" t="s">
        <v>116</v>
      </c>
      <c r="E38" s="7" t="str">
        <f t="shared" si="1"/>
        <v>MG S5 X+</v>
      </c>
      <c r="F38" s="10" t="s">
        <v>35</v>
      </c>
      <c r="G38" s="7" t="s">
        <v>35</v>
      </c>
      <c r="H38" s="7" t="s">
        <v>36</v>
      </c>
      <c r="I38" s="11">
        <v>839900</v>
      </c>
      <c r="L38" s="7" t="s">
        <v>56</v>
      </c>
      <c r="M38" s="7" t="s">
        <v>91</v>
      </c>
      <c r="N38" s="7" t="s">
        <v>91</v>
      </c>
      <c r="Q38" s="7">
        <v>50</v>
      </c>
      <c r="S38" s="7">
        <v>416</v>
      </c>
      <c r="T38" s="7" t="s">
        <v>38</v>
      </c>
      <c r="U38" s="7" t="s">
        <v>39</v>
      </c>
      <c r="V38" s="7" t="s">
        <v>39</v>
      </c>
      <c r="W38" s="7">
        <f t="shared" si="0"/>
        <v>12.01923076923077</v>
      </c>
      <c r="X38" s="7">
        <v>139</v>
      </c>
      <c r="Y38" s="7">
        <v>125</v>
      </c>
      <c r="Z38" s="7">
        <v>250</v>
      </c>
      <c r="AA38" s="7" t="s">
        <v>40</v>
      </c>
      <c r="AB38" s="11">
        <v>1405</v>
      </c>
      <c r="AC38" s="12">
        <v>1849</v>
      </c>
      <c r="AD38" s="12">
        <v>4476</v>
      </c>
      <c r="AE38" s="12">
        <v>1621</v>
      </c>
      <c r="AF38" s="12">
        <v>2730</v>
      </c>
    </row>
    <row r="39" spans="1:32">
      <c r="A39" s="7" t="s">
        <v>86</v>
      </c>
      <c r="B39" s="7" t="s">
        <v>113</v>
      </c>
      <c r="C39" s="7" t="s">
        <v>113</v>
      </c>
      <c r="D39" s="7" t="s">
        <v>117</v>
      </c>
      <c r="E39" s="7" t="str">
        <f t="shared" si="1"/>
        <v>MG S5 V+</v>
      </c>
      <c r="F39" s="10" t="s">
        <v>35</v>
      </c>
      <c r="G39" s="7" t="s">
        <v>35</v>
      </c>
      <c r="H39" s="7" t="s">
        <v>36</v>
      </c>
      <c r="I39" s="11">
        <v>959900</v>
      </c>
      <c r="L39" s="7" t="s">
        <v>56</v>
      </c>
      <c r="M39" s="7" t="s">
        <v>91</v>
      </c>
      <c r="N39" s="7" t="s">
        <v>91</v>
      </c>
      <c r="Q39" s="7">
        <v>62.2</v>
      </c>
      <c r="S39" s="7">
        <v>550</v>
      </c>
      <c r="T39" s="7" t="s">
        <v>38</v>
      </c>
      <c r="U39" s="7" t="s">
        <v>92</v>
      </c>
      <c r="V39" s="7" t="s">
        <v>92</v>
      </c>
      <c r="W39" s="7">
        <f t="shared" si="0"/>
        <v>11.309090909090909</v>
      </c>
      <c r="X39" s="7">
        <v>139</v>
      </c>
      <c r="Y39" s="7">
        <v>180</v>
      </c>
      <c r="Z39" s="7">
        <v>350</v>
      </c>
      <c r="AA39" s="7" t="s">
        <v>40</v>
      </c>
      <c r="AB39" s="11">
        <v>1658</v>
      </c>
      <c r="AC39" s="12">
        <v>1849</v>
      </c>
      <c r="AD39" s="12">
        <v>4476</v>
      </c>
      <c r="AE39" s="12">
        <v>1621</v>
      </c>
      <c r="AF39" s="12">
        <v>2730</v>
      </c>
    </row>
    <row r="40" spans="1:32">
      <c r="A40" s="7" t="s">
        <v>86</v>
      </c>
      <c r="B40" s="7" t="s">
        <v>118</v>
      </c>
      <c r="C40" s="7" t="s">
        <v>119</v>
      </c>
      <c r="D40" s="7" t="s">
        <v>88</v>
      </c>
      <c r="E40" s="7" t="str">
        <f t="shared" si="1"/>
        <v>MG Urban EV Standard</v>
      </c>
      <c r="F40" s="10" t="s">
        <v>47</v>
      </c>
      <c r="G40" s="7" t="s">
        <v>47</v>
      </c>
      <c r="H40" s="7" t="s">
        <v>36</v>
      </c>
      <c r="I40" s="11">
        <v>529900</v>
      </c>
      <c r="L40" s="7" t="s">
        <v>120</v>
      </c>
      <c r="M40" s="7" t="s">
        <v>91</v>
      </c>
      <c r="N40" s="7" t="s">
        <v>91</v>
      </c>
      <c r="Q40" s="7">
        <v>42.8</v>
      </c>
      <c r="S40" s="7">
        <v>435</v>
      </c>
      <c r="T40" s="7" t="s">
        <v>38</v>
      </c>
      <c r="U40" s="7" t="s">
        <v>39</v>
      </c>
      <c r="V40" s="7" t="s">
        <v>39</v>
      </c>
      <c r="W40" s="7">
        <f t="shared" si="0"/>
        <v>9.8390804597701145</v>
      </c>
      <c r="X40" s="7">
        <v>140</v>
      </c>
      <c r="Y40" s="7">
        <v>110</v>
      </c>
      <c r="Z40" s="7">
        <v>250</v>
      </c>
      <c r="AA40" s="7" t="s">
        <v>40</v>
      </c>
      <c r="AB40" s="11">
        <v>1300</v>
      </c>
      <c r="AC40" s="12">
        <v>1730</v>
      </c>
      <c r="AD40" s="12">
        <v>3950</v>
      </c>
      <c r="AE40" s="12">
        <v>1580</v>
      </c>
      <c r="AF40" s="12">
        <v>2560</v>
      </c>
    </row>
    <row r="41" spans="1:32">
      <c r="A41" s="7" t="s">
        <v>86</v>
      </c>
      <c r="B41" s="7" t="s">
        <v>118</v>
      </c>
      <c r="C41" s="7" t="s">
        <v>118</v>
      </c>
      <c r="D41" s="7" t="s">
        <v>121</v>
      </c>
      <c r="E41" s="7" t="str">
        <f t="shared" si="1"/>
        <v>MG Urban Max</v>
      </c>
      <c r="F41" s="10" t="s">
        <v>47</v>
      </c>
      <c r="G41" s="7" t="s">
        <v>47</v>
      </c>
      <c r="H41" s="7" t="s">
        <v>36</v>
      </c>
      <c r="I41" s="11">
        <v>599900</v>
      </c>
      <c r="L41" s="7" t="s">
        <v>105</v>
      </c>
      <c r="M41" s="7" t="s">
        <v>91</v>
      </c>
      <c r="N41" s="7" t="s">
        <v>91</v>
      </c>
      <c r="Q41" s="7">
        <v>53.9</v>
      </c>
      <c r="S41" s="7">
        <v>530</v>
      </c>
      <c r="T41" s="7" t="s">
        <v>38</v>
      </c>
      <c r="U41" s="7" t="s">
        <v>39</v>
      </c>
      <c r="V41" s="7" t="s">
        <v>39</v>
      </c>
      <c r="W41" s="7">
        <f t="shared" si="0"/>
        <v>10.169811320754716</v>
      </c>
      <c r="X41" s="7">
        <v>140</v>
      </c>
      <c r="Y41" s="7">
        <v>118</v>
      </c>
      <c r="Z41" s="7">
        <v>250</v>
      </c>
      <c r="AA41" s="7" t="s">
        <v>40</v>
      </c>
      <c r="AB41" s="11">
        <v>1300</v>
      </c>
      <c r="AC41" s="12">
        <v>1730</v>
      </c>
      <c r="AD41" s="12">
        <v>3950</v>
      </c>
      <c r="AE41" s="12">
        <v>1580</v>
      </c>
      <c r="AF41" s="12">
        <v>2560</v>
      </c>
    </row>
    <row r="42" spans="1:32">
      <c r="A42" s="7" t="s">
        <v>86</v>
      </c>
      <c r="B42" s="7" t="s">
        <v>118</v>
      </c>
      <c r="C42" s="7" t="s">
        <v>118</v>
      </c>
      <c r="D42" s="7" t="s">
        <v>122</v>
      </c>
      <c r="E42" s="7" t="str">
        <f t="shared" si="1"/>
        <v>MG Urban ultra</v>
      </c>
      <c r="F42" s="10" t="s">
        <v>47</v>
      </c>
      <c r="G42" s="7" t="s">
        <v>47</v>
      </c>
      <c r="H42" s="7" t="s">
        <v>36</v>
      </c>
      <c r="I42" s="11">
        <v>709900</v>
      </c>
      <c r="L42" s="7" t="s">
        <v>105</v>
      </c>
      <c r="M42" s="7" t="s">
        <v>91</v>
      </c>
      <c r="N42" s="7" t="s">
        <v>91</v>
      </c>
      <c r="Q42" s="7">
        <v>53.9</v>
      </c>
      <c r="S42" s="7">
        <v>530</v>
      </c>
      <c r="T42" s="7" t="s">
        <v>38</v>
      </c>
      <c r="U42" s="7" t="s">
        <v>39</v>
      </c>
      <c r="V42" s="7" t="s">
        <v>39</v>
      </c>
      <c r="W42" s="7">
        <f t="shared" si="0"/>
        <v>10.169811320754716</v>
      </c>
      <c r="X42" s="7">
        <v>140</v>
      </c>
      <c r="Y42" s="7">
        <v>118</v>
      </c>
      <c r="Z42" s="7">
        <v>250</v>
      </c>
      <c r="AA42" s="7" t="s">
        <v>40</v>
      </c>
      <c r="AB42" s="11">
        <v>1300</v>
      </c>
      <c r="AC42" s="12">
        <v>1730</v>
      </c>
      <c r="AD42" s="12">
        <v>3950</v>
      </c>
      <c r="AE42" s="12">
        <v>1580</v>
      </c>
      <c r="AF42" s="12">
        <v>2560</v>
      </c>
    </row>
    <row r="43" spans="1:32">
      <c r="A43" s="7" t="s">
        <v>86</v>
      </c>
      <c r="B43" s="7" t="s">
        <v>123</v>
      </c>
      <c r="C43" s="7" t="s">
        <v>123</v>
      </c>
      <c r="D43" s="7" t="s">
        <v>124</v>
      </c>
      <c r="E43" s="7" t="str">
        <f t="shared" si="1"/>
        <v>MG IM5 Premium Long Range</v>
      </c>
      <c r="F43" s="10" t="s">
        <v>35</v>
      </c>
      <c r="G43" s="7" t="s">
        <v>35</v>
      </c>
      <c r="H43" s="7" t="s">
        <v>36</v>
      </c>
      <c r="I43" s="11">
        <v>1549900</v>
      </c>
      <c r="L43" s="7" t="s">
        <v>125</v>
      </c>
      <c r="M43" s="7" t="s">
        <v>91</v>
      </c>
      <c r="N43" s="7" t="s">
        <v>91</v>
      </c>
      <c r="Q43" s="7">
        <v>100</v>
      </c>
      <c r="S43" s="7">
        <v>860</v>
      </c>
      <c r="T43" s="7" t="s">
        <v>38</v>
      </c>
      <c r="U43" s="7" t="s">
        <v>92</v>
      </c>
      <c r="V43" s="7" t="s">
        <v>92</v>
      </c>
      <c r="W43" s="7">
        <f t="shared" si="0"/>
        <v>11.627906976744185</v>
      </c>
      <c r="X43" s="7">
        <v>166</v>
      </c>
      <c r="Y43" s="7">
        <v>300</v>
      </c>
      <c r="Z43" s="7">
        <v>500</v>
      </c>
      <c r="AA43" s="7" t="s">
        <v>40</v>
      </c>
      <c r="AB43" s="11">
        <v>2050</v>
      </c>
      <c r="AC43" s="12">
        <v>1960</v>
      </c>
      <c r="AD43" s="12">
        <v>4931</v>
      </c>
      <c r="AE43" s="12">
        <v>1474</v>
      </c>
      <c r="AF43" s="12">
        <v>2950</v>
      </c>
    </row>
    <row r="44" spans="1:32">
      <c r="A44" s="7" t="s">
        <v>86</v>
      </c>
      <c r="B44" s="7" t="s">
        <v>126</v>
      </c>
      <c r="C44" s="7" t="s">
        <v>127</v>
      </c>
      <c r="D44" s="10" t="s">
        <v>72</v>
      </c>
      <c r="E44" s="7" t="str">
        <f t="shared" si="1"/>
        <v>MG IM6 EV Premium</v>
      </c>
      <c r="F44" s="10" t="s">
        <v>35</v>
      </c>
      <c r="G44" s="7" t="s">
        <v>35</v>
      </c>
      <c r="H44" s="7" t="s">
        <v>36</v>
      </c>
      <c r="I44" s="11">
        <v>1399900</v>
      </c>
      <c r="L44" s="7" t="s">
        <v>128</v>
      </c>
      <c r="M44" s="7" t="s">
        <v>91</v>
      </c>
      <c r="N44" s="7" t="s">
        <v>91</v>
      </c>
      <c r="Q44" s="7">
        <v>75</v>
      </c>
      <c r="S44" s="7">
        <v>450</v>
      </c>
      <c r="T44" s="7" t="s">
        <v>38</v>
      </c>
      <c r="U44" s="7" t="s">
        <v>92</v>
      </c>
      <c r="V44" s="7" t="s">
        <v>92</v>
      </c>
      <c r="W44" s="7">
        <f t="shared" si="0"/>
        <v>16.666666666666664</v>
      </c>
      <c r="X44" s="7">
        <v>166</v>
      </c>
      <c r="Y44" s="7">
        <v>217</v>
      </c>
      <c r="Z44" s="7">
        <v>450</v>
      </c>
      <c r="AA44" s="7" t="s">
        <v>40</v>
      </c>
      <c r="AB44" s="11">
        <v>2095</v>
      </c>
      <c r="AC44" s="12">
        <v>1988</v>
      </c>
      <c r="AD44" s="12">
        <v>4904</v>
      </c>
      <c r="AE44" s="12">
        <v>1669</v>
      </c>
      <c r="AF44" s="12">
        <v>2950</v>
      </c>
    </row>
    <row r="45" spans="1:32" ht="15" customHeight="1">
      <c r="A45" s="7" t="s">
        <v>86</v>
      </c>
      <c r="B45" s="7" t="s">
        <v>126</v>
      </c>
      <c r="C45" s="7" t="s">
        <v>126</v>
      </c>
      <c r="D45" s="7" t="s">
        <v>124</v>
      </c>
      <c r="E45" s="7" t="str">
        <f t="shared" si="1"/>
        <v>MG IM6 Premium Long Range</v>
      </c>
      <c r="F45" s="10" t="s">
        <v>35</v>
      </c>
      <c r="G45" s="7" t="s">
        <v>35</v>
      </c>
      <c r="H45" s="7" t="s">
        <v>36</v>
      </c>
      <c r="I45" s="11">
        <v>1599900</v>
      </c>
      <c r="L45" s="7" t="s">
        <v>129</v>
      </c>
      <c r="M45" s="7" t="s">
        <v>91</v>
      </c>
      <c r="N45" s="7" t="s">
        <v>91</v>
      </c>
      <c r="Q45" s="7">
        <v>100</v>
      </c>
      <c r="S45" s="7">
        <v>625</v>
      </c>
      <c r="T45" s="7" t="s">
        <v>38</v>
      </c>
      <c r="U45" s="7" t="s">
        <v>92</v>
      </c>
      <c r="V45" s="7" t="s">
        <v>92</v>
      </c>
      <c r="W45" s="7">
        <f t="shared" si="0"/>
        <v>16</v>
      </c>
      <c r="X45" s="7">
        <v>166</v>
      </c>
      <c r="Y45" s="7">
        <v>300</v>
      </c>
      <c r="Z45" s="7">
        <v>500</v>
      </c>
      <c r="AA45" s="7" t="s">
        <v>40</v>
      </c>
      <c r="AB45" s="11">
        <v>2185</v>
      </c>
      <c r="AC45" s="12">
        <v>1988</v>
      </c>
      <c r="AD45" s="12">
        <v>4904</v>
      </c>
      <c r="AE45" s="12">
        <v>1669</v>
      </c>
      <c r="AF45" s="12">
        <v>2950</v>
      </c>
    </row>
    <row r="46" spans="1:32">
      <c r="A46" s="7" t="s">
        <v>86</v>
      </c>
      <c r="B46" s="7" t="s">
        <v>126</v>
      </c>
      <c r="C46" s="7" t="s">
        <v>126</v>
      </c>
      <c r="D46" s="7" t="s">
        <v>130</v>
      </c>
      <c r="E46" s="7" t="str">
        <f t="shared" si="1"/>
        <v>MG IM6 Performance</v>
      </c>
      <c r="F46" s="10" t="s">
        <v>35</v>
      </c>
      <c r="G46" s="7" t="s">
        <v>35</v>
      </c>
      <c r="H46" s="7" t="s">
        <v>36</v>
      </c>
      <c r="I46" s="11">
        <v>1799900</v>
      </c>
      <c r="L46" s="7" t="s">
        <v>129</v>
      </c>
      <c r="M46" s="7" t="s">
        <v>91</v>
      </c>
      <c r="N46" s="7" t="s">
        <v>91</v>
      </c>
      <c r="Q46" s="7">
        <v>100</v>
      </c>
      <c r="S46" s="7">
        <v>505</v>
      </c>
      <c r="T46" s="7" t="s">
        <v>38</v>
      </c>
      <c r="U46" s="7" t="s">
        <v>92</v>
      </c>
      <c r="V46" s="7" t="s">
        <v>92</v>
      </c>
      <c r="W46" s="7">
        <f t="shared" si="0"/>
        <v>19.801980198019802</v>
      </c>
      <c r="X46" s="7">
        <v>166</v>
      </c>
      <c r="Y46" s="7" t="s">
        <v>131</v>
      </c>
      <c r="Z46" s="7" t="s">
        <v>132</v>
      </c>
      <c r="AA46" s="7" t="s">
        <v>40</v>
      </c>
      <c r="AB46" s="11">
        <v>2250</v>
      </c>
      <c r="AC46" s="12">
        <v>1988</v>
      </c>
      <c r="AD46" s="12">
        <v>4904</v>
      </c>
      <c r="AE46" s="12">
        <v>1669</v>
      </c>
      <c r="AF46" s="12">
        <v>2950</v>
      </c>
    </row>
    <row r="47" spans="1:32">
      <c r="A47" s="7" t="s">
        <v>86</v>
      </c>
      <c r="B47" s="7" t="s">
        <v>133</v>
      </c>
      <c r="C47" s="7" t="s">
        <v>133</v>
      </c>
      <c r="D47" s="7" t="s">
        <v>133</v>
      </c>
      <c r="E47" s="7" t="str">
        <f t="shared" si="1"/>
        <v>MG Cyberster Cyberster</v>
      </c>
      <c r="F47" s="7" t="s">
        <v>134</v>
      </c>
      <c r="G47" s="7" t="s">
        <v>134</v>
      </c>
      <c r="H47" s="7" t="s">
        <v>36</v>
      </c>
      <c r="I47" s="11">
        <v>2499000</v>
      </c>
      <c r="L47" s="7" t="s">
        <v>135</v>
      </c>
      <c r="M47" s="7" t="s">
        <v>91</v>
      </c>
      <c r="N47" s="7" t="s">
        <v>91</v>
      </c>
      <c r="Q47" s="7">
        <v>77</v>
      </c>
      <c r="S47" s="7">
        <v>580</v>
      </c>
      <c r="T47" s="7" t="s">
        <v>38</v>
      </c>
      <c r="U47" s="7" t="s">
        <v>92</v>
      </c>
      <c r="V47" s="7" t="s">
        <v>92</v>
      </c>
      <c r="W47" s="7">
        <f t="shared" si="0"/>
        <v>13.275862068965516</v>
      </c>
      <c r="Y47" s="7">
        <v>400</v>
      </c>
      <c r="Z47" s="7">
        <v>725</v>
      </c>
      <c r="AA47" s="7" t="s">
        <v>40</v>
      </c>
      <c r="AB47" s="11">
        <v>1985</v>
      </c>
      <c r="AC47" s="12">
        <v>1913</v>
      </c>
      <c r="AD47" s="12">
        <v>4535</v>
      </c>
      <c r="AE47" s="12">
        <v>1329</v>
      </c>
      <c r="AF47" s="12">
        <v>2690</v>
      </c>
    </row>
    <row r="48" spans="1:32">
      <c r="A48" s="7" t="s">
        <v>86</v>
      </c>
      <c r="B48" s="7" t="s">
        <v>136</v>
      </c>
      <c r="C48" s="7" t="s">
        <v>137</v>
      </c>
      <c r="D48" s="7" t="s">
        <v>138</v>
      </c>
      <c r="E48" s="7" t="str">
        <f t="shared" si="1"/>
        <v>MG MAXUS 7 EV Model X</v>
      </c>
      <c r="F48" s="10" t="s">
        <v>60</v>
      </c>
      <c r="G48" s="7" t="s">
        <v>60</v>
      </c>
      <c r="H48" s="7" t="s">
        <v>36</v>
      </c>
      <c r="I48" s="11">
        <v>1399000</v>
      </c>
      <c r="L48" s="7" t="s">
        <v>139</v>
      </c>
      <c r="M48" s="7" t="s">
        <v>91</v>
      </c>
      <c r="N48" s="7" t="s">
        <v>91</v>
      </c>
      <c r="Q48" s="7">
        <v>90</v>
      </c>
      <c r="S48" s="7">
        <v>570</v>
      </c>
      <c r="T48" s="7" t="s">
        <v>38</v>
      </c>
      <c r="U48" s="7" t="s">
        <v>92</v>
      </c>
      <c r="V48" s="7" t="s">
        <v>92</v>
      </c>
      <c r="W48" s="7">
        <f t="shared" si="0"/>
        <v>15.789473684210526</v>
      </c>
      <c r="X48" s="7">
        <v>145</v>
      </c>
      <c r="Y48" s="7">
        <v>180</v>
      </c>
      <c r="Z48" s="7">
        <v>350</v>
      </c>
      <c r="AA48" s="7" t="s">
        <v>40</v>
      </c>
      <c r="AB48" s="11">
        <v>2300</v>
      </c>
      <c r="AC48" s="12">
        <v>1900</v>
      </c>
      <c r="AD48" s="12">
        <v>4907</v>
      </c>
      <c r="AE48" s="12">
        <v>1756</v>
      </c>
      <c r="AF48" s="12">
        <v>2975</v>
      </c>
    </row>
    <row r="49" spans="1:32">
      <c r="A49" s="7" t="s">
        <v>86</v>
      </c>
      <c r="B49" s="7" t="s">
        <v>140</v>
      </c>
      <c r="C49" s="7" t="s">
        <v>140</v>
      </c>
      <c r="D49" s="7" t="s">
        <v>141</v>
      </c>
      <c r="E49" s="7" t="str">
        <f t="shared" si="1"/>
        <v>MG Maxus 9 V PLUS</v>
      </c>
      <c r="F49" s="10" t="s">
        <v>60</v>
      </c>
      <c r="G49" s="7" t="s">
        <v>60</v>
      </c>
      <c r="H49" s="7" t="s">
        <v>36</v>
      </c>
      <c r="I49" s="11">
        <v>1849900</v>
      </c>
      <c r="L49" s="7" t="s">
        <v>142</v>
      </c>
      <c r="M49" s="7" t="s">
        <v>91</v>
      </c>
      <c r="N49" s="7" t="s">
        <v>91</v>
      </c>
      <c r="Q49" s="7">
        <v>90</v>
      </c>
      <c r="S49" s="7">
        <v>540</v>
      </c>
      <c r="T49" s="7" t="s">
        <v>38</v>
      </c>
      <c r="U49" s="7" t="s">
        <v>92</v>
      </c>
      <c r="V49" s="7" t="s">
        <v>92</v>
      </c>
      <c r="W49" s="7">
        <f t="shared" si="0"/>
        <v>16.666666666666664</v>
      </c>
      <c r="X49" s="7">
        <v>140</v>
      </c>
      <c r="Y49" s="7">
        <v>180</v>
      </c>
      <c r="Z49" s="7">
        <v>350</v>
      </c>
      <c r="AA49" s="7" t="s">
        <v>40</v>
      </c>
      <c r="AB49" s="11">
        <v>2250</v>
      </c>
      <c r="AC49" s="12">
        <v>2000</v>
      </c>
      <c r="AD49" s="12">
        <v>5270</v>
      </c>
      <c r="AE49" s="12">
        <v>1840</v>
      </c>
      <c r="AF49" s="12">
        <v>3200</v>
      </c>
    </row>
    <row r="50" spans="1:32">
      <c r="A50" s="10" t="s">
        <v>143</v>
      </c>
      <c r="B50" s="10" t="s">
        <v>144</v>
      </c>
      <c r="C50" s="7" t="s">
        <v>145</v>
      </c>
      <c r="D50" s="10" t="s">
        <v>146</v>
      </c>
      <c r="E50" s="7" t="str">
        <f t="shared" si="1"/>
        <v>AION V EV 500 Premium</v>
      </c>
      <c r="F50" s="10" t="s">
        <v>35</v>
      </c>
      <c r="G50" s="10" t="s">
        <v>35</v>
      </c>
      <c r="H50" s="7" t="s">
        <v>36</v>
      </c>
      <c r="I50" s="11">
        <v>799900</v>
      </c>
      <c r="L50" s="7" t="s">
        <v>147</v>
      </c>
      <c r="M50" s="7" t="s">
        <v>148</v>
      </c>
      <c r="N50" s="7" t="s">
        <v>148</v>
      </c>
      <c r="Q50" s="7">
        <v>64.5</v>
      </c>
      <c r="S50" s="7">
        <v>500</v>
      </c>
      <c r="T50" s="7" t="s">
        <v>38</v>
      </c>
      <c r="U50" s="7" t="s">
        <v>39</v>
      </c>
      <c r="V50" s="7" t="s">
        <v>39</v>
      </c>
      <c r="W50" s="7">
        <f t="shared" si="0"/>
        <v>12.9</v>
      </c>
      <c r="X50" s="7">
        <v>180</v>
      </c>
      <c r="Y50" s="7">
        <v>135</v>
      </c>
      <c r="Z50" s="7">
        <v>240</v>
      </c>
      <c r="AA50" s="7" t="s">
        <v>40</v>
      </c>
      <c r="AB50" s="11">
        <v>2250</v>
      </c>
      <c r="AC50" s="12">
        <v>1854</v>
      </c>
      <c r="AD50" s="12">
        <v>4605</v>
      </c>
      <c r="AE50" s="12">
        <v>1686</v>
      </c>
      <c r="AF50" s="12">
        <v>2775</v>
      </c>
    </row>
    <row r="51" spans="1:32">
      <c r="A51" s="10" t="s">
        <v>143</v>
      </c>
      <c r="B51" s="10" t="s">
        <v>144</v>
      </c>
      <c r="C51" s="10" t="s">
        <v>144</v>
      </c>
      <c r="D51" s="16" t="s">
        <v>149</v>
      </c>
      <c r="E51" s="7" t="str">
        <f t="shared" si="1"/>
        <v>AION V 602 Luxury</v>
      </c>
      <c r="F51" s="10" t="s">
        <v>35</v>
      </c>
      <c r="G51" s="10" t="s">
        <v>35</v>
      </c>
      <c r="H51" s="7" t="s">
        <v>36</v>
      </c>
      <c r="I51" s="11">
        <v>899900</v>
      </c>
      <c r="L51" s="7" t="s">
        <v>150</v>
      </c>
      <c r="M51" s="7" t="s">
        <v>148</v>
      </c>
      <c r="N51" s="7" t="s">
        <v>148</v>
      </c>
      <c r="Q51" s="7">
        <v>75.2</v>
      </c>
      <c r="S51" s="7">
        <v>602</v>
      </c>
      <c r="T51" s="7" t="s">
        <v>38</v>
      </c>
      <c r="U51" s="7" t="s">
        <v>39</v>
      </c>
      <c r="V51" s="7" t="s">
        <v>39</v>
      </c>
      <c r="W51" s="7">
        <f t="shared" si="0"/>
        <v>12.491694352159469</v>
      </c>
      <c r="X51" s="7">
        <v>180</v>
      </c>
      <c r="Y51" s="7">
        <v>150</v>
      </c>
      <c r="Z51" s="7">
        <v>240</v>
      </c>
      <c r="AA51" s="7" t="s">
        <v>40</v>
      </c>
      <c r="AB51" s="11">
        <v>2280</v>
      </c>
      <c r="AC51" s="12">
        <v>1854</v>
      </c>
      <c r="AD51" s="12">
        <v>4605</v>
      </c>
      <c r="AE51" s="12">
        <v>1686</v>
      </c>
      <c r="AF51" s="12">
        <v>2775</v>
      </c>
    </row>
    <row r="52" spans="1:32">
      <c r="A52" s="10" t="s">
        <v>143</v>
      </c>
      <c r="B52" s="7" t="s">
        <v>151</v>
      </c>
      <c r="C52" s="7" t="s">
        <v>151</v>
      </c>
      <c r="D52" s="7" t="s">
        <v>152</v>
      </c>
      <c r="E52" s="7" t="str">
        <f t="shared" si="1"/>
        <v>AION Y PLUS 490 Elite</v>
      </c>
      <c r="F52" s="10" t="s">
        <v>35</v>
      </c>
      <c r="G52" s="10" t="s">
        <v>35</v>
      </c>
      <c r="H52" s="7" t="s">
        <v>36</v>
      </c>
      <c r="I52" s="11">
        <v>699900</v>
      </c>
      <c r="L52" s="7" t="s">
        <v>153</v>
      </c>
      <c r="M52" s="7" t="s">
        <v>148</v>
      </c>
      <c r="N52" s="7" t="s">
        <v>148</v>
      </c>
      <c r="Q52" s="7">
        <v>63.2</v>
      </c>
      <c r="S52" s="7">
        <v>490</v>
      </c>
      <c r="T52" s="7" t="s">
        <v>38</v>
      </c>
      <c r="U52" s="7" t="s">
        <v>39</v>
      </c>
      <c r="V52" s="7" t="s">
        <v>39</v>
      </c>
      <c r="W52" s="7">
        <f t="shared" si="0"/>
        <v>12.897959183673468</v>
      </c>
      <c r="X52" s="7">
        <v>150</v>
      </c>
      <c r="Y52" s="7">
        <v>150</v>
      </c>
      <c r="Z52" s="7">
        <v>225</v>
      </c>
      <c r="AA52" s="7" t="s">
        <v>40</v>
      </c>
      <c r="AB52" s="11">
        <v>2180</v>
      </c>
      <c r="AC52" s="12">
        <v>1870</v>
      </c>
      <c r="AD52" s="12">
        <v>4535</v>
      </c>
      <c r="AE52" s="12">
        <v>1650</v>
      </c>
      <c r="AF52" s="12">
        <v>2750</v>
      </c>
    </row>
    <row r="53" spans="1:32">
      <c r="A53" s="10" t="s">
        <v>143</v>
      </c>
      <c r="B53" s="7" t="s">
        <v>151</v>
      </c>
      <c r="C53" s="10" t="s">
        <v>154</v>
      </c>
      <c r="D53" s="7" t="s">
        <v>155</v>
      </c>
      <c r="E53" s="7" t="str">
        <f t="shared" si="1"/>
        <v>AION Y Plus 490 Premium</v>
      </c>
      <c r="F53" s="10" t="s">
        <v>35</v>
      </c>
      <c r="G53" s="10" t="s">
        <v>35</v>
      </c>
      <c r="H53" s="7" t="s">
        <v>36</v>
      </c>
      <c r="I53" s="11">
        <v>749900</v>
      </c>
      <c r="L53" s="7" t="s">
        <v>153</v>
      </c>
      <c r="M53" s="7" t="s">
        <v>148</v>
      </c>
      <c r="N53" s="7" t="s">
        <v>148</v>
      </c>
      <c r="Q53" s="7">
        <v>63.2</v>
      </c>
      <c r="S53" s="7">
        <v>490</v>
      </c>
      <c r="T53" s="7" t="s">
        <v>38</v>
      </c>
      <c r="U53" s="7" t="s">
        <v>39</v>
      </c>
      <c r="V53" s="7" t="s">
        <v>39</v>
      </c>
      <c r="W53" s="7">
        <f t="shared" si="0"/>
        <v>12.897959183673468</v>
      </c>
      <c r="X53" s="7">
        <v>150</v>
      </c>
      <c r="Y53" s="7">
        <v>150</v>
      </c>
      <c r="Z53" s="7">
        <v>225</v>
      </c>
      <c r="AA53" s="7" t="s">
        <v>40</v>
      </c>
      <c r="AB53" s="11">
        <v>2180</v>
      </c>
      <c r="AC53" s="12">
        <v>1870</v>
      </c>
      <c r="AD53" s="12">
        <v>4535</v>
      </c>
      <c r="AE53" s="12">
        <v>1650</v>
      </c>
      <c r="AF53" s="12">
        <v>2750</v>
      </c>
    </row>
    <row r="54" spans="1:32">
      <c r="A54" s="10" t="s">
        <v>143</v>
      </c>
      <c r="B54" s="7" t="s">
        <v>151</v>
      </c>
      <c r="C54" s="10" t="s">
        <v>154</v>
      </c>
      <c r="D54" s="7" t="s">
        <v>156</v>
      </c>
      <c r="E54" s="7" t="str">
        <f t="shared" si="1"/>
        <v>AION Y Plus 550 Ultra</v>
      </c>
      <c r="F54" s="10" t="s">
        <v>35</v>
      </c>
      <c r="G54" s="10" t="s">
        <v>35</v>
      </c>
      <c r="H54" s="7" t="s">
        <v>36</v>
      </c>
      <c r="I54" s="11">
        <v>829900</v>
      </c>
      <c r="L54" s="7" t="s">
        <v>153</v>
      </c>
      <c r="M54" s="7" t="s">
        <v>148</v>
      </c>
      <c r="N54" s="7" t="s">
        <v>148</v>
      </c>
      <c r="Q54" s="7">
        <v>68.3</v>
      </c>
      <c r="S54" s="7">
        <v>550</v>
      </c>
      <c r="T54" s="7" t="s">
        <v>38</v>
      </c>
      <c r="U54" s="7" t="s">
        <v>39</v>
      </c>
      <c r="V54" s="7" t="s">
        <v>39</v>
      </c>
      <c r="W54" s="7">
        <f t="shared" si="0"/>
        <v>12.418181818181818</v>
      </c>
      <c r="X54" s="7">
        <v>150</v>
      </c>
      <c r="Y54" s="7">
        <v>150</v>
      </c>
      <c r="Z54" s="7">
        <v>225</v>
      </c>
      <c r="AA54" s="7" t="s">
        <v>40</v>
      </c>
      <c r="AB54" s="11">
        <v>2180</v>
      </c>
      <c r="AC54" s="12">
        <v>1870</v>
      </c>
      <c r="AD54" s="12">
        <v>4535</v>
      </c>
      <c r="AE54" s="12">
        <v>1650</v>
      </c>
      <c r="AF54" s="12">
        <v>2750</v>
      </c>
    </row>
    <row r="55" spans="1:32">
      <c r="A55" s="10" t="s">
        <v>143</v>
      </c>
      <c r="B55" s="10" t="s">
        <v>157</v>
      </c>
      <c r="C55" s="10" t="s">
        <v>157</v>
      </c>
      <c r="D55" s="10" t="s">
        <v>88</v>
      </c>
      <c r="E55" s="7" t="str">
        <f t="shared" si="1"/>
        <v>AION ES Standard</v>
      </c>
      <c r="F55" s="10" t="s">
        <v>53</v>
      </c>
      <c r="G55" s="10" t="s">
        <v>53</v>
      </c>
      <c r="H55" s="7" t="s">
        <v>36</v>
      </c>
      <c r="I55" s="11">
        <v>846000</v>
      </c>
      <c r="L55" s="7" t="s">
        <v>153</v>
      </c>
      <c r="M55" s="7" t="s">
        <v>148</v>
      </c>
      <c r="N55" s="7" t="s">
        <v>148</v>
      </c>
      <c r="Q55" s="7">
        <v>55.2</v>
      </c>
      <c r="S55" s="7">
        <v>442</v>
      </c>
      <c r="T55" s="7" t="s">
        <v>38</v>
      </c>
      <c r="U55" s="7" t="s">
        <v>39</v>
      </c>
      <c r="V55" s="7" t="s">
        <v>39</v>
      </c>
      <c r="W55" s="7">
        <v>13.6</v>
      </c>
      <c r="X55" s="7">
        <v>125</v>
      </c>
      <c r="Y55" s="7">
        <v>100</v>
      </c>
      <c r="Z55" s="7">
        <v>225</v>
      </c>
      <c r="AA55" s="7" t="s">
        <v>40</v>
      </c>
      <c r="AB55" s="11">
        <v>2135</v>
      </c>
      <c r="AC55" s="12">
        <v>1880</v>
      </c>
      <c r="AD55" s="12">
        <v>4810</v>
      </c>
      <c r="AE55" s="12">
        <v>1545</v>
      </c>
      <c r="AF55" s="12">
        <v>2750</v>
      </c>
    </row>
    <row r="56" spans="1:32">
      <c r="A56" s="10" t="s">
        <v>143</v>
      </c>
      <c r="B56" s="10" t="s">
        <v>158</v>
      </c>
      <c r="C56" s="10" t="s">
        <v>159</v>
      </c>
      <c r="D56" s="10" t="s">
        <v>160</v>
      </c>
      <c r="E56" s="7" t="str">
        <f t="shared" si="1"/>
        <v>AION UT EV 420 Standard</v>
      </c>
      <c r="F56" s="10" t="s">
        <v>47</v>
      </c>
      <c r="G56" s="10" t="s">
        <v>47</v>
      </c>
      <c r="H56" s="7" t="s">
        <v>36</v>
      </c>
      <c r="I56" s="11">
        <v>519900</v>
      </c>
      <c r="L56" s="7" t="s">
        <v>161</v>
      </c>
      <c r="M56" s="7" t="s">
        <v>148</v>
      </c>
      <c r="N56" s="7" t="s">
        <v>148</v>
      </c>
      <c r="Q56" s="7">
        <v>50.27</v>
      </c>
      <c r="S56" s="7">
        <v>420</v>
      </c>
      <c r="T56" s="7" t="s">
        <v>38</v>
      </c>
      <c r="U56" s="7" t="s">
        <v>39</v>
      </c>
      <c r="V56" s="7" t="s">
        <v>39</v>
      </c>
      <c r="W56" s="7">
        <v>13.3</v>
      </c>
      <c r="X56" s="7">
        <v>147</v>
      </c>
      <c r="Y56" s="7">
        <v>100</v>
      </c>
      <c r="Z56" s="7">
        <v>145</v>
      </c>
      <c r="AA56" s="7" t="s">
        <v>40</v>
      </c>
      <c r="AB56" s="11">
        <v>1990</v>
      </c>
      <c r="AC56" s="12">
        <v>1850</v>
      </c>
      <c r="AD56" s="12">
        <v>4275</v>
      </c>
      <c r="AE56" s="12">
        <v>1575</v>
      </c>
      <c r="AF56" s="12">
        <v>2750</v>
      </c>
    </row>
    <row r="57" spans="1:32">
      <c r="A57" s="10" t="s">
        <v>143</v>
      </c>
      <c r="B57" s="10" t="s">
        <v>158</v>
      </c>
      <c r="C57" s="10" t="s">
        <v>158</v>
      </c>
      <c r="D57" s="10" t="s">
        <v>146</v>
      </c>
      <c r="E57" s="7" t="str">
        <f t="shared" si="1"/>
        <v>AION UT 500 Premium</v>
      </c>
      <c r="F57" s="10" t="s">
        <v>47</v>
      </c>
      <c r="G57" s="10" t="s">
        <v>47</v>
      </c>
      <c r="H57" s="7" t="s">
        <v>36</v>
      </c>
      <c r="I57" s="11">
        <v>619900</v>
      </c>
      <c r="L57" s="7" t="s">
        <v>98</v>
      </c>
      <c r="M57" s="7" t="s">
        <v>148</v>
      </c>
      <c r="N57" s="7" t="s">
        <v>148</v>
      </c>
      <c r="Q57" s="7">
        <v>60</v>
      </c>
      <c r="S57" s="7">
        <v>500</v>
      </c>
      <c r="T57" s="7" t="s">
        <v>38</v>
      </c>
      <c r="U57" s="7" t="s">
        <v>39</v>
      </c>
      <c r="V57" s="7" t="s">
        <v>39</v>
      </c>
      <c r="W57" s="7">
        <v>14</v>
      </c>
      <c r="X57" s="7">
        <v>147</v>
      </c>
      <c r="Y57" s="7">
        <v>150</v>
      </c>
      <c r="Z57" s="7">
        <v>210</v>
      </c>
      <c r="AA57" s="7" t="s">
        <v>40</v>
      </c>
      <c r="AB57" s="7">
        <v>2110</v>
      </c>
      <c r="AC57" s="12">
        <v>1850</v>
      </c>
      <c r="AD57" s="12">
        <v>4275</v>
      </c>
      <c r="AE57" s="12">
        <v>1575</v>
      </c>
      <c r="AF57" s="12">
        <v>2750</v>
      </c>
    </row>
    <row r="58" spans="1:32">
      <c r="A58" s="10" t="s">
        <v>143</v>
      </c>
      <c r="B58" s="10" t="s">
        <v>162</v>
      </c>
      <c r="C58" s="10" t="s">
        <v>163</v>
      </c>
      <c r="D58" s="10" t="s">
        <v>164</v>
      </c>
      <c r="E58" s="7" t="str">
        <f t="shared" si="1"/>
        <v>AION HYPER HT 620 Premium</v>
      </c>
      <c r="F58" s="10" t="s">
        <v>35</v>
      </c>
      <c r="G58" s="10" t="s">
        <v>35</v>
      </c>
      <c r="H58" s="7" t="s">
        <v>36</v>
      </c>
      <c r="I58" s="11">
        <v>1199000</v>
      </c>
      <c r="L58" s="7" t="s">
        <v>165</v>
      </c>
      <c r="M58" s="7" t="s">
        <v>148</v>
      </c>
      <c r="N58" s="7" t="s">
        <v>148</v>
      </c>
      <c r="Q58" s="7">
        <v>83</v>
      </c>
      <c r="S58" s="7">
        <v>620</v>
      </c>
      <c r="T58" s="7" t="s">
        <v>38</v>
      </c>
      <c r="U58" s="7" t="s">
        <v>39</v>
      </c>
      <c r="V58" s="7" t="s">
        <v>39</v>
      </c>
      <c r="W58" s="7">
        <f t="shared" ref="W58:W64" si="2">(Q58/S58)*100</f>
        <v>13.38709677419355</v>
      </c>
      <c r="X58" s="7">
        <v>158</v>
      </c>
      <c r="Y58" s="7">
        <v>158</v>
      </c>
      <c r="Z58" s="7">
        <v>380</v>
      </c>
      <c r="AA58" s="7" t="s">
        <v>40</v>
      </c>
      <c r="AB58" s="7">
        <v>2232</v>
      </c>
      <c r="AC58" s="12">
        <v>1920</v>
      </c>
      <c r="AD58" s="12">
        <v>4935</v>
      </c>
      <c r="AE58" s="12">
        <v>1700</v>
      </c>
      <c r="AF58" s="12">
        <v>2930</v>
      </c>
    </row>
    <row r="59" spans="1:32">
      <c r="A59" s="10" t="s">
        <v>143</v>
      </c>
      <c r="B59" s="10" t="s">
        <v>162</v>
      </c>
      <c r="C59" s="10" t="s">
        <v>162</v>
      </c>
      <c r="D59" s="10" t="s">
        <v>166</v>
      </c>
      <c r="E59" s="7" t="str">
        <f t="shared" si="1"/>
        <v>AION HT 620 Luxury Gull-Wing</v>
      </c>
      <c r="F59" s="10" t="s">
        <v>35</v>
      </c>
      <c r="G59" s="10" t="s">
        <v>35</v>
      </c>
      <c r="H59" s="7" t="s">
        <v>36</v>
      </c>
      <c r="I59" s="11">
        <v>1749000</v>
      </c>
      <c r="L59" s="7" t="s">
        <v>165</v>
      </c>
      <c r="M59" s="7" t="s">
        <v>148</v>
      </c>
      <c r="N59" s="7" t="s">
        <v>148</v>
      </c>
      <c r="Q59" s="7">
        <v>83</v>
      </c>
      <c r="S59" s="7">
        <v>620</v>
      </c>
      <c r="T59" s="7" t="s">
        <v>38</v>
      </c>
      <c r="U59" s="7" t="s">
        <v>39</v>
      </c>
      <c r="V59" s="7" t="s">
        <v>39</v>
      </c>
      <c r="W59" s="7">
        <f t="shared" si="2"/>
        <v>13.38709677419355</v>
      </c>
      <c r="X59" s="7">
        <v>158</v>
      </c>
      <c r="Y59" s="7">
        <v>158</v>
      </c>
      <c r="Z59" s="7">
        <v>380</v>
      </c>
      <c r="AA59" s="7" t="s">
        <v>40</v>
      </c>
      <c r="AB59" s="7">
        <v>2232</v>
      </c>
      <c r="AC59" s="12">
        <v>1920</v>
      </c>
      <c r="AD59" s="12">
        <v>4935</v>
      </c>
      <c r="AE59" s="12">
        <v>1700</v>
      </c>
      <c r="AF59" s="12">
        <v>2930</v>
      </c>
    </row>
    <row r="60" spans="1:32">
      <c r="A60" s="7" t="s">
        <v>167</v>
      </c>
      <c r="B60" s="7" t="s">
        <v>168</v>
      </c>
      <c r="C60" s="7" t="s">
        <v>169</v>
      </c>
      <c r="D60" s="7" t="s">
        <v>170</v>
      </c>
      <c r="E60" s="7" t="str">
        <f t="shared" si="1"/>
        <v>ORA Good Cat EV 400 Pro (Standard Range)</v>
      </c>
      <c r="F60" s="10" t="s">
        <v>47</v>
      </c>
      <c r="G60" s="7" t="s">
        <v>171</v>
      </c>
      <c r="H60" s="7" t="s">
        <v>36</v>
      </c>
      <c r="I60" s="11">
        <v>599000</v>
      </c>
      <c r="L60" s="7" t="s">
        <v>172</v>
      </c>
      <c r="M60" s="7" t="s">
        <v>173</v>
      </c>
      <c r="N60" s="7" t="s">
        <v>173</v>
      </c>
      <c r="Q60" s="7">
        <v>47.8</v>
      </c>
      <c r="S60" s="7">
        <v>400</v>
      </c>
      <c r="T60" s="7" t="s">
        <v>38</v>
      </c>
      <c r="U60" s="7" t="s">
        <v>39</v>
      </c>
      <c r="V60" s="7" t="s">
        <v>39</v>
      </c>
      <c r="W60" s="7">
        <f t="shared" si="2"/>
        <v>11.95</v>
      </c>
      <c r="X60" s="7">
        <v>145</v>
      </c>
      <c r="Y60" s="7">
        <v>105</v>
      </c>
      <c r="Z60" s="7">
        <v>210</v>
      </c>
      <c r="AA60" s="7" t="s">
        <v>40</v>
      </c>
      <c r="AB60" s="11">
        <v>1640</v>
      </c>
      <c r="AC60" s="12">
        <v>1848</v>
      </c>
      <c r="AD60" s="12">
        <v>4235</v>
      </c>
      <c r="AE60" s="12">
        <v>1603</v>
      </c>
      <c r="AF60" s="12">
        <v>2650</v>
      </c>
    </row>
    <row r="61" spans="1:32">
      <c r="A61" s="7" t="s">
        <v>167</v>
      </c>
      <c r="B61" s="7" t="s">
        <v>168</v>
      </c>
      <c r="C61" s="7" t="s">
        <v>168</v>
      </c>
      <c r="D61" s="7" t="s">
        <v>174</v>
      </c>
      <c r="E61" s="7" t="str">
        <f t="shared" si="1"/>
        <v>ORA Good Cat 500 Ultra (Long Range)</v>
      </c>
      <c r="F61" s="10" t="s">
        <v>47</v>
      </c>
      <c r="G61" s="7" t="s">
        <v>171</v>
      </c>
      <c r="H61" s="7" t="s">
        <v>36</v>
      </c>
      <c r="I61" s="11">
        <v>699000</v>
      </c>
      <c r="L61" s="7" t="s">
        <v>172</v>
      </c>
      <c r="M61" s="7" t="s">
        <v>173</v>
      </c>
      <c r="N61" s="7" t="s">
        <v>173</v>
      </c>
      <c r="Q61" s="7">
        <v>63.1</v>
      </c>
      <c r="S61" s="7">
        <v>500</v>
      </c>
      <c r="T61" s="7" t="s">
        <v>38</v>
      </c>
      <c r="U61" s="7" t="s">
        <v>39</v>
      </c>
      <c r="V61" s="7" t="s">
        <v>39</v>
      </c>
      <c r="W61" s="7">
        <f t="shared" si="2"/>
        <v>12.620000000000001</v>
      </c>
      <c r="X61" s="7">
        <v>145</v>
      </c>
      <c r="Y61" s="7">
        <v>105</v>
      </c>
      <c r="Z61" s="7">
        <v>210</v>
      </c>
      <c r="AA61" s="7" t="s">
        <v>40</v>
      </c>
      <c r="AB61" s="11">
        <v>1640</v>
      </c>
      <c r="AC61" s="12">
        <v>1848</v>
      </c>
      <c r="AD61" s="12">
        <v>4235</v>
      </c>
      <c r="AE61" s="12">
        <v>1603</v>
      </c>
      <c r="AF61" s="12">
        <v>2650</v>
      </c>
    </row>
    <row r="62" spans="1:32">
      <c r="A62" s="7" t="s">
        <v>167</v>
      </c>
      <c r="B62" s="7" t="s">
        <v>168</v>
      </c>
      <c r="C62" s="7" t="s">
        <v>168</v>
      </c>
      <c r="D62" s="7" t="s">
        <v>175</v>
      </c>
      <c r="E62" s="7" t="str">
        <f t="shared" si="1"/>
        <v>ORA Good Cat GT</v>
      </c>
      <c r="F62" s="10" t="s">
        <v>47</v>
      </c>
      <c r="G62" s="7" t="s">
        <v>171</v>
      </c>
      <c r="H62" s="7" t="s">
        <v>36</v>
      </c>
      <c r="I62" s="11">
        <v>829000</v>
      </c>
      <c r="L62" s="7" t="s">
        <v>172</v>
      </c>
      <c r="M62" s="7" t="s">
        <v>173</v>
      </c>
      <c r="N62" s="7" t="s">
        <v>173</v>
      </c>
      <c r="Q62" s="7">
        <v>63.1</v>
      </c>
      <c r="S62" s="7">
        <v>480</v>
      </c>
      <c r="T62" s="7" t="s">
        <v>38</v>
      </c>
      <c r="U62" s="7" t="s">
        <v>39</v>
      </c>
      <c r="V62" s="7" t="s">
        <v>39</v>
      </c>
      <c r="W62" s="7">
        <f t="shared" si="2"/>
        <v>13.145833333333334</v>
      </c>
      <c r="X62" s="7">
        <v>145</v>
      </c>
      <c r="Y62" s="7">
        <v>126</v>
      </c>
      <c r="Z62" s="7">
        <v>250</v>
      </c>
      <c r="AA62" s="7" t="s">
        <v>40</v>
      </c>
      <c r="AB62" s="11">
        <v>1555</v>
      </c>
      <c r="AC62" s="12">
        <v>1848</v>
      </c>
      <c r="AD62" s="12">
        <v>4259</v>
      </c>
      <c r="AE62" s="12">
        <v>1596</v>
      </c>
      <c r="AF62" s="12">
        <v>2650</v>
      </c>
    </row>
    <row r="63" spans="1:32">
      <c r="A63" s="7" t="s">
        <v>167</v>
      </c>
      <c r="B63" s="7">
        <v>7</v>
      </c>
      <c r="C63" s="7" t="s">
        <v>176</v>
      </c>
      <c r="D63" s="7" t="s">
        <v>177</v>
      </c>
      <c r="E63" s="7" t="str">
        <f t="shared" si="1"/>
        <v>ORA ORA 07-EV Long Range</v>
      </c>
      <c r="F63" s="7" t="s">
        <v>53</v>
      </c>
      <c r="G63" s="7" t="s">
        <v>178</v>
      </c>
      <c r="H63" s="7" t="s">
        <v>36</v>
      </c>
      <c r="I63" s="11">
        <v>1299000</v>
      </c>
      <c r="L63" s="7" t="s">
        <v>179</v>
      </c>
      <c r="M63" s="7" t="s">
        <v>173</v>
      </c>
      <c r="N63" s="7" t="s">
        <v>173</v>
      </c>
      <c r="Q63" s="7">
        <v>83.5</v>
      </c>
      <c r="S63" s="7">
        <v>640</v>
      </c>
      <c r="T63" s="7" t="s">
        <v>38</v>
      </c>
      <c r="U63" s="7" t="s">
        <v>39</v>
      </c>
      <c r="V63" s="7" t="s">
        <v>39</v>
      </c>
      <c r="W63" s="7">
        <f t="shared" si="2"/>
        <v>13.046875</v>
      </c>
      <c r="X63" s="7">
        <v>120</v>
      </c>
      <c r="Y63" s="7">
        <v>150</v>
      </c>
      <c r="Z63" s="7">
        <v>340</v>
      </c>
      <c r="AA63" s="7" t="s">
        <v>40</v>
      </c>
      <c r="AB63" s="11">
        <v>1965</v>
      </c>
      <c r="AC63" s="12">
        <v>1890</v>
      </c>
      <c r="AD63" s="12">
        <v>4871</v>
      </c>
      <c r="AE63" s="12">
        <v>1510</v>
      </c>
      <c r="AF63" s="12">
        <v>2870</v>
      </c>
    </row>
    <row r="64" spans="1:32">
      <c r="A64" s="7" t="s">
        <v>167</v>
      </c>
      <c r="B64" s="7">
        <v>7</v>
      </c>
      <c r="C64" s="7">
        <v>7</v>
      </c>
      <c r="D64" s="7" t="s">
        <v>130</v>
      </c>
      <c r="E64" s="7" t="str">
        <f t="shared" si="1"/>
        <v>ORA 7 Performance</v>
      </c>
      <c r="F64" s="7" t="s">
        <v>53</v>
      </c>
      <c r="G64" s="7" t="s">
        <v>178</v>
      </c>
      <c r="H64" s="7" t="s">
        <v>36</v>
      </c>
      <c r="I64" s="7">
        <v>1499000</v>
      </c>
      <c r="L64" s="7" t="s">
        <v>179</v>
      </c>
      <c r="M64" s="7" t="s">
        <v>173</v>
      </c>
      <c r="N64" s="7" t="s">
        <v>173</v>
      </c>
      <c r="Q64" s="7">
        <v>83.5</v>
      </c>
      <c r="S64" s="7">
        <v>550</v>
      </c>
      <c r="T64" s="7" t="s">
        <v>38</v>
      </c>
      <c r="U64" s="7" t="s">
        <v>39</v>
      </c>
      <c r="V64" s="7" t="s">
        <v>39</v>
      </c>
      <c r="W64" s="7">
        <f t="shared" si="2"/>
        <v>15.181818181818182</v>
      </c>
      <c r="X64" s="7">
        <v>120</v>
      </c>
      <c r="Y64" s="7">
        <v>300</v>
      </c>
      <c r="Z64" s="7">
        <v>680</v>
      </c>
      <c r="AA64" s="7" t="s">
        <v>40</v>
      </c>
      <c r="AB64" s="11">
        <v>1990</v>
      </c>
      <c r="AC64" s="12">
        <v>1890</v>
      </c>
      <c r="AD64" s="12">
        <v>4871</v>
      </c>
      <c r="AE64" s="12">
        <v>1510</v>
      </c>
      <c r="AF64" s="12">
        <v>2870</v>
      </c>
    </row>
    <row r="65" spans="1:32">
      <c r="A65" s="7" t="s">
        <v>167</v>
      </c>
      <c r="B65" s="7">
        <v>5</v>
      </c>
      <c r="C65" s="7" t="s">
        <v>180</v>
      </c>
      <c r="D65" s="7" t="s">
        <v>181</v>
      </c>
      <c r="E65" s="7" t="str">
        <f t="shared" si="1"/>
        <v>ORA ORA 05-EV Pro</v>
      </c>
      <c r="F65" s="10" t="s">
        <v>35</v>
      </c>
      <c r="G65" s="7" t="s">
        <v>182</v>
      </c>
      <c r="H65" s="7" t="s">
        <v>36</v>
      </c>
      <c r="I65" s="11">
        <v>699000</v>
      </c>
      <c r="L65" s="7" t="s">
        <v>183</v>
      </c>
      <c r="M65" s="7" t="s">
        <v>173</v>
      </c>
      <c r="N65" s="7" t="s">
        <v>173</v>
      </c>
      <c r="Q65" s="7">
        <v>58.3</v>
      </c>
      <c r="S65" s="7">
        <v>520</v>
      </c>
      <c r="T65" s="7" t="s">
        <v>38</v>
      </c>
      <c r="U65" s="7" t="s">
        <v>39</v>
      </c>
      <c r="V65" s="7" t="s">
        <v>39</v>
      </c>
      <c r="W65" s="7">
        <v>11.21</v>
      </c>
      <c r="X65" s="7">
        <v>175</v>
      </c>
      <c r="Y65" s="7">
        <v>150</v>
      </c>
      <c r="Z65" s="7">
        <v>260</v>
      </c>
      <c r="AA65" s="7" t="s">
        <v>40</v>
      </c>
      <c r="AB65" s="11">
        <v>1650</v>
      </c>
      <c r="AC65" s="12">
        <v>1860</v>
      </c>
      <c r="AD65" s="12">
        <v>4470</v>
      </c>
      <c r="AE65" s="12">
        <v>1600</v>
      </c>
      <c r="AF65" s="12">
        <v>2720</v>
      </c>
    </row>
    <row r="66" spans="1:32">
      <c r="A66" s="7" t="s">
        <v>167</v>
      </c>
      <c r="B66" s="7">
        <v>5</v>
      </c>
      <c r="C66" s="7">
        <v>5</v>
      </c>
      <c r="D66" s="7" t="s">
        <v>184</v>
      </c>
      <c r="E66" s="7" t="str">
        <f t="shared" si="1"/>
        <v>ORA 5 Ultra</v>
      </c>
      <c r="F66" s="10" t="s">
        <v>35</v>
      </c>
      <c r="G66" s="7" t="s">
        <v>182</v>
      </c>
      <c r="H66" s="7" t="s">
        <v>36</v>
      </c>
      <c r="I66" s="11">
        <v>739000</v>
      </c>
      <c r="L66" s="7" t="s">
        <v>183</v>
      </c>
      <c r="M66" s="7" t="s">
        <v>173</v>
      </c>
      <c r="N66" s="7" t="s">
        <v>173</v>
      </c>
      <c r="Q66" s="7">
        <v>58.3</v>
      </c>
      <c r="S66" s="7">
        <v>520</v>
      </c>
      <c r="T66" s="7" t="s">
        <v>38</v>
      </c>
      <c r="U66" s="7" t="s">
        <v>39</v>
      </c>
      <c r="V66" s="7" t="s">
        <v>39</v>
      </c>
      <c r="W66" s="7">
        <v>11.21</v>
      </c>
      <c r="X66" s="7">
        <v>175</v>
      </c>
      <c r="Y66" s="7">
        <v>150</v>
      </c>
      <c r="Z66" s="7">
        <v>260</v>
      </c>
      <c r="AA66" s="7" t="s">
        <v>40</v>
      </c>
      <c r="AB66" s="11">
        <v>1650</v>
      </c>
      <c r="AC66" s="12">
        <v>1860</v>
      </c>
      <c r="AD66" s="12">
        <v>4470</v>
      </c>
      <c r="AE66" s="12">
        <v>1600</v>
      </c>
      <c r="AF66" s="12">
        <v>2720</v>
      </c>
    </row>
    <row r="67" spans="1:32" ht="22.5" customHeight="1">
      <c r="A67" s="10" t="s">
        <v>185</v>
      </c>
      <c r="B67" s="10" t="s">
        <v>144</v>
      </c>
      <c r="C67" s="10" t="s">
        <v>144</v>
      </c>
      <c r="D67" s="10" t="s">
        <v>88</v>
      </c>
      <c r="E67" s="7" t="str">
        <f t="shared" ref="E67:E130" si="3">A67&amp;" "&amp;C67&amp;" "&amp;D67</f>
        <v>NETA V Standard</v>
      </c>
      <c r="F67" s="10" t="s">
        <v>47</v>
      </c>
      <c r="G67" s="10" t="s">
        <v>186</v>
      </c>
      <c r="H67" s="7" t="s">
        <v>36</v>
      </c>
      <c r="I67" s="11">
        <v>549000</v>
      </c>
      <c r="L67" s="7" t="s">
        <v>187</v>
      </c>
      <c r="M67" s="7" t="s">
        <v>188</v>
      </c>
      <c r="N67" s="7" t="s">
        <v>188</v>
      </c>
      <c r="Q67" s="7">
        <v>40.700000000000003</v>
      </c>
      <c r="S67" s="7">
        <v>384</v>
      </c>
      <c r="T67" s="7" t="s">
        <v>38</v>
      </c>
      <c r="U67" s="7" t="s">
        <v>39</v>
      </c>
      <c r="V67" s="7" t="s">
        <v>39</v>
      </c>
      <c r="W67" s="7">
        <f t="shared" ref="W67:W90" si="4">(Q67/S67)*100</f>
        <v>10.598958333333334</v>
      </c>
      <c r="X67" s="7">
        <v>130</v>
      </c>
      <c r="Y67" s="7">
        <v>70</v>
      </c>
      <c r="Z67" s="7">
        <v>150</v>
      </c>
      <c r="AA67" s="7" t="s">
        <v>40</v>
      </c>
      <c r="AB67" s="11">
        <v>1269</v>
      </c>
      <c r="AC67" s="12">
        <v>1770</v>
      </c>
      <c r="AD67" s="12">
        <v>4070</v>
      </c>
      <c r="AE67" s="12">
        <v>1555</v>
      </c>
      <c r="AF67" s="12">
        <v>2420</v>
      </c>
    </row>
    <row r="68" spans="1:32" ht="15.75" customHeight="1">
      <c r="A68" s="10" t="s">
        <v>185</v>
      </c>
      <c r="B68" s="10" t="s">
        <v>189</v>
      </c>
      <c r="C68" s="10" t="s">
        <v>189</v>
      </c>
      <c r="D68" s="10" t="s">
        <v>190</v>
      </c>
      <c r="E68" s="7" t="str">
        <f t="shared" si="3"/>
        <v>NETA V-II LITE</v>
      </c>
      <c r="F68" s="10" t="s">
        <v>47</v>
      </c>
      <c r="G68" s="10" t="s">
        <v>186</v>
      </c>
      <c r="H68" s="7" t="s">
        <v>36</v>
      </c>
      <c r="I68" s="11">
        <v>549000</v>
      </c>
      <c r="L68" s="7" t="s">
        <v>187</v>
      </c>
      <c r="M68" s="7" t="s">
        <v>188</v>
      </c>
      <c r="N68" s="7" t="s">
        <v>188</v>
      </c>
      <c r="Q68" s="7">
        <v>36.1</v>
      </c>
      <c r="S68" s="7">
        <v>382</v>
      </c>
      <c r="T68" s="7" t="s">
        <v>38</v>
      </c>
      <c r="U68" s="7" t="s">
        <v>39</v>
      </c>
      <c r="V68" s="7" t="s">
        <v>39</v>
      </c>
      <c r="W68" s="7">
        <f t="shared" si="4"/>
        <v>9.4502617801047126</v>
      </c>
      <c r="X68" s="7">
        <v>157</v>
      </c>
      <c r="Y68" s="7">
        <v>70</v>
      </c>
      <c r="Z68" s="7">
        <v>150</v>
      </c>
      <c r="AA68" s="7" t="s">
        <v>40</v>
      </c>
      <c r="AB68" s="11">
        <v>1180</v>
      </c>
      <c r="AC68" s="12">
        <v>1770</v>
      </c>
      <c r="AD68" s="12">
        <v>4070</v>
      </c>
      <c r="AE68" s="12">
        <v>1555</v>
      </c>
      <c r="AF68" s="12">
        <v>2420</v>
      </c>
    </row>
    <row r="69" spans="1:32" ht="15" customHeight="1">
      <c r="A69" s="10" t="s">
        <v>185</v>
      </c>
      <c r="B69" s="10" t="s">
        <v>189</v>
      </c>
      <c r="C69" s="10" t="s">
        <v>189</v>
      </c>
      <c r="D69" s="10" t="s">
        <v>191</v>
      </c>
      <c r="E69" s="7" t="str">
        <f t="shared" si="3"/>
        <v>NETA V-II SMART</v>
      </c>
      <c r="F69" s="10" t="s">
        <v>47</v>
      </c>
      <c r="G69" s="10" t="s">
        <v>186</v>
      </c>
      <c r="H69" s="7" t="s">
        <v>36</v>
      </c>
      <c r="I69" s="11">
        <v>569000</v>
      </c>
      <c r="L69" s="7" t="s">
        <v>187</v>
      </c>
      <c r="M69" s="7" t="s">
        <v>188</v>
      </c>
      <c r="N69" s="7" t="s">
        <v>188</v>
      </c>
      <c r="Q69" s="7">
        <v>36.1</v>
      </c>
      <c r="S69" s="7">
        <v>382</v>
      </c>
      <c r="T69" s="7" t="s">
        <v>38</v>
      </c>
      <c r="U69" s="7" t="s">
        <v>39</v>
      </c>
      <c r="V69" s="7" t="s">
        <v>39</v>
      </c>
      <c r="W69" s="7">
        <f t="shared" si="4"/>
        <v>9.4502617801047126</v>
      </c>
      <c r="X69" s="7">
        <v>157</v>
      </c>
      <c r="Y69" s="7">
        <v>70</v>
      </c>
      <c r="Z69" s="7">
        <v>150</v>
      </c>
      <c r="AA69" s="7" t="s">
        <v>40</v>
      </c>
      <c r="AB69" s="11">
        <v>1180</v>
      </c>
      <c r="AC69" s="12">
        <v>1770</v>
      </c>
      <c r="AD69" s="12">
        <v>4070</v>
      </c>
      <c r="AE69" s="12">
        <v>1555</v>
      </c>
      <c r="AF69" s="12">
        <v>2420</v>
      </c>
    </row>
    <row r="70" spans="1:32">
      <c r="A70" s="10" t="s">
        <v>185</v>
      </c>
      <c r="B70" s="10" t="s">
        <v>99</v>
      </c>
      <c r="C70" s="10" t="s">
        <v>99</v>
      </c>
      <c r="D70" s="7" t="s">
        <v>192</v>
      </c>
      <c r="E70" s="7" t="str">
        <f t="shared" si="3"/>
        <v>NETA X Comfort</v>
      </c>
      <c r="F70" s="10" t="s">
        <v>35</v>
      </c>
      <c r="G70" s="10" t="s">
        <v>193</v>
      </c>
      <c r="H70" s="7" t="s">
        <v>36</v>
      </c>
      <c r="I70" s="11">
        <v>739000</v>
      </c>
      <c r="L70" s="7" t="s">
        <v>194</v>
      </c>
      <c r="M70" s="7" t="s">
        <v>188</v>
      </c>
      <c r="N70" s="7" t="s">
        <v>188</v>
      </c>
      <c r="Q70" s="7">
        <v>51.8</v>
      </c>
      <c r="S70" s="7">
        <v>401</v>
      </c>
      <c r="T70" s="7" t="s">
        <v>38</v>
      </c>
      <c r="U70" s="7" t="s">
        <v>39</v>
      </c>
      <c r="V70" s="7" t="s">
        <v>39</v>
      </c>
      <c r="W70" s="7">
        <f t="shared" si="4"/>
        <v>12.917705735660848</v>
      </c>
      <c r="X70" s="7">
        <v>145</v>
      </c>
      <c r="Y70" s="7">
        <v>120</v>
      </c>
      <c r="Z70" s="7">
        <v>210</v>
      </c>
      <c r="AA70" s="7" t="s">
        <v>40</v>
      </c>
      <c r="AB70" s="11">
        <v>1745</v>
      </c>
      <c r="AC70" s="12">
        <v>1860</v>
      </c>
      <c r="AD70" s="12">
        <v>4619</v>
      </c>
      <c r="AE70" s="12">
        <v>1628</v>
      </c>
      <c r="AF70" s="12">
        <v>2770</v>
      </c>
    </row>
    <row r="71" spans="1:32">
      <c r="A71" s="10" t="s">
        <v>185</v>
      </c>
      <c r="B71" s="10" t="s">
        <v>99</v>
      </c>
      <c r="C71" s="10" t="s">
        <v>99</v>
      </c>
      <c r="D71" s="10" t="s">
        <v>195</v>
      </c>
      <c r="E71" s="7" t="str">
        <f t="shared" si="3"/>
        <v>NETA X Smart</v>
      </c>
      <c r="F71" s="10" t="s">
        <v>35</v>
      </c>
      <c r="G71" s="10" t="s">
        <v>193</v>
      </c>
      <c r="H71" s="7" t="s">
        <v>36</v>
      </c>
      <c r="I71" s="11">
        <v>799000</v>
      </c>
      <c r="L71" s="7" t="s">
        <v>196</v>
      </c>
      <c r="M71" s="7" t="s">
        <v>188</v>
      </c>
      <c r="N71" s="7" t="s">
        <v>188</v>
      </c>
      <c r="Q71" s="7">
        <v>51.8</v>
      </c>
      <c r="S71" s="7">
        <v>480</v>
      </c>
      <c r="T71" s="7" t="s">
        <v>38</v>
      </c>
      <c r="U71" s="7" t="s">
        <v>39</v>
      </c>
      <c r="V71" s="7" t="s">
        <v>39</v>
      </c>
      <c r="W71" s="7">
        <f t="shared" si="4"/>
        <v>10.791666666666666</v>
      </c>
      <c r="X71" s="7">
        <v>145</v>
      </c>
      <c r="Y71" s="7">
        <v>120</v>
      </c>
      <c r="Z71" s="7">
        <v>210</v>
      </c>
      <c r="AA71" s="7" t="s">
        <v>40</v>
      </c>
      <c r="AB71" s="11">
        <v>1815</v>
      </c>
      <c r="AC71" s="12">
        <v>1860</v>
      </c>
      <c r="AD71" s="12">
        <v>4619</v>
      </c>
      <c r="AE71" s="12">
        <v>1628</v>
      </c>
      <c r="AF71" s="12">
        <v>2770</v>
      </c>
    </row>
    <row r="72" spans="1:32">
      <c r="A72" s="10" t="s">
        <v>197</v>
      </c>
      <c r="B72" s="10" t="s">
        <v>198</v>
      </c>
      <c r="C72" s="10" t="s">
        <v>199</v>
      </c>
      <c r="D72" s="10" t="s">
        <v>198</v>
      </c>
      <c r="E72" s="7" t="str">
        <f t="shared" si="3"/>
        <v>Deepal L07-EV L07</v>
      </c>
      <c r="F72" s="10" t="s">
        <v>53</v>
      </c>
      <c r="G72" s="10" t="s">
        <v>200</v>
      </c>
      <c r="H72" s="7" t="s">
        <v>36</v>
      </c>
      <c r="I72" s="11">
        <v>1329000</v>
      </c>
      <c r="L72" s="7" t="s">
        <v>201</v>
      </c>
      <c r="M72" s="7" t="s">
        <v>188</v>
      </c>
      <c r="N72" s="7" t="s">
        <v>188</v>
      </c>
      <c r="Q72" s="7">
        <v>66.8</v>
      </c>
      <c r="S72" s="7">
        <v>540</v>
      </c>
      <c r="T72" s="7" t="s">
        <v>38</v>
      </c>
      <c r="U72" s="7" t="s">
        <v>92</v>
      </c>
      <c r="V72" s="7" t="s">
        <v>92</v>
      </c>
      <c r="W72" s="7">
        <f t="shared" si="4"/>
        <v>12.37037037037037</v>
      </c>
      <c r="X72" s="7">
        <v>150</v>
      </c>
      <c r="Y72" s="7">
        <v>190</v>
      </c>
      <c r="Z72" s="7">
        <v>320</v>
      </c>
      <c r="AA72" s="7" t="s">
        <v>40</v>
      </c>
      <c r="AB72" s="11">
        <v>1820</v>
      </c>
      <c r="AC72" s="12">
        <v>1890</v>
      </c>
      <c r="AD72" s="12">
        <v>4875</v>
      </c>
      <c r="AE72" s="12">
        <v>1480</v>
      </c>
      <c r="AF72" s="12">
        <v>2900</v>
      </c>
    </row>
    <row r="73" spans="1:32">
      <c r="A73" s="10" t="s">
        <v>197</v>
      </c>
      <c r="B73" s="10" t="s">
        <v>198</v>
      </c>
      <c r="C73" s="10" t="s">
        <v>198</v>
      </c>
      <c r="D73" s="7" t="s">
        <v>202</v>
      </c>
      <c r="E73" s="7" t="str">
        <f t="shared" si="3"/>
        <v>Deepal L07 S</v>
      </c>
      <c r="F73" s="10" t="s">
        <v>53</v>
      </c>
      <c r="G73" s="10" t="s">
        <v>200</v>
      </c>
      <c r="H73" s="7" t="s">
        <v>36</v>
      </c>
      <c r="I73" s="11">
        <v>1239000</v>
      </c>
      <c r="L73" s="7" t="s">
        <v>201</v>
      </c>
      <c r="M73" s="7" t="s">
        <v>91</v>
      </c>
      <c r="N73" s="7" t="s">
        <v>91</v>
      </c>
      <c r="Q73" s="7">
        <v>58.89</v>
      </c>
      <c r="S73" s="7">
        <v>475</v>
      </c>
      <c r="T73" s="7" t="s">
        <v>38</v>
      </c>
      <c r="U73" s="7" t="s">
        <v>92</v>
      </c>
      <c r="V73" s="7" t="s">
        <v>92</v>
      </c>
      <c r="W73" s="7">
        <f t="shared" si="4"/>
        <v>12.397894736842105</v>
      </c>
      <c r="X73" s="7">
        <v>150</v>
      </c>
      <c r="Y73" s="7">
        <v>160</v>
      </c>
      <c r="Z73" s="7">
        <v>320</v>
      </c>
      <c r="AA73" s="7" t="s">
        <v>40</v>
      </c>
      <c r="AB73" s="11">
        <v>1820</v>
      </c>
      <c r="AC73" s="12">
        <v>1890</v>
      </c>
      <c r="AD73" s="12">
        <v>4875</v>
      </c>
      <c r="AE73" s="12">
        <v>1480</v>
      </c>
      <c r="AF73" s="12">
        <v>2900</v>
      </c>
    </row>
    <row r="74" spans="1:32">
      <c r="A74" s="10" t="s">
        <v>197</v>
      </c>
      <c r="B74" s="10" t="s">
        <v>198</v>
      </c>
      <c r="C74" s="10" t="s">
        <v>198</v>
      </c>
      <c r="D74" s="10" t="s">
        <v>203</v>
      </c>
      <c r="E74" s="7" t="str">
        <f t="shared" si="3"/>
        <v>Deepal L07 Extended Range (REEV)</v>
      </c>
      <c r="F74" s="10" t="s">
        <v>53</v>
      </c>
      <c r="G74" s="10" t="s">
        <v>200</v>
      </c>
      <c r="H74" s="7" t="s">
        <v>204</v>
      </c>
      <c r="I74" s="11">
        <v>1399000</v>
      </c>
      <c r="L74" s="7" t="s">
        <v>201</v>
      </c>
      <c r="M74" s="7" t="s">
        <v>91</v>
      </c>
      <c r="N74" s="7" t="s">
        <v>91</v>
      </c>
      <c r="Q74" s="7">
        <v>28.39</v>
      </c>
      <c r="S74" s="7">
        <v>230</v>
      </c>
      <c r="T74" s="7" t="s">
        <v>38</v>
      </c>
      <c r="U74" s="7" t="s">
        <v>39</v>
      </c>
      <c r="V74" s="7" t="s">
        <v>39</v>
      </c>
      <c r="W74" s="7">
        <f t="shared" si="4"/>
        <v>12.343478260869565</v>
      </c>
      <c r="X74" s="7">
        <v>150</v>
      </c>
      <c r="Y74" s="7">
        <v>160</v>
      </c>
      <c r="Z74" s="7">
        <v>320</v>
      </c>
      <c r="AA74" s="7" t="s">
        <v>40</v>
      </c>
      <c r="AB74" s="11">
        <v>1820</v>
      </c>
      <c r="AC74" s="12">
        <v>1890</v>
      </c>
      <c r="AD74" s="12">
        <v>4875</v>
      </c>
      <c r="AE74" s="12">
        <v>1480</v>
      </c>
      <c r="AF74" s="12">
        <v>2900</v>
      </c>
    </row>
    <row r="75" spans="1:32">
      <c r="A75" s="10" t="s">
        <v>197</v>
      </c>
      <c r="B75" s="10" t="s">
        <v>205</v>
      </c>
      <c r="C75" s="7" t="s">
        <v>206</v>
      </c>
      <c r="D75" s="10" t="s">
        <v>207</v>
      </c>
      <c r="E75" s="7" t="str">
        <f t="shared" si="3"/>
        <v>Deepal S07-EV S7</v>
      </c>
      <c r="F75" s="10" t="s">
        <v>35</v>
      </c>
      <c r="G75" s="10" t="s">
        <v>208</v>
      </c>
      <c r="H75" s="7" t="s">
        <v>36</v>
      </c>
      <c r="I75" s="11">
        <v>1099000</v>
      </c>
      <c r="L75" s="7" t="s">
        <v>201</v>
      </c>
      <c r="M75" s="7" t="s">
        <v>91</v>
      </c>
      <c r="N75" s="7" t="s">
        <v>91</v>
      </c>
      <c r="Q75" s="10">
        <v>68.8</v>
      </c>
      <c r="R75" s="10"/>
      <c r="S75" s="7">
        <v>485</v>
      </c>
      <c r="T75" s="7" t="s">
        <v>38</v>
      </c>
      <c r="U75" s="7" t="s">
        <v>39</v>
      </c>
      <c r="V75" s="7" t="s">
        <v>39</v>
      </c>
      <c r="W75" s="7">
        <f t="shared" si="4"/>
        <v>14.185567010309278</v>
      </c>
      <c r="X75" s="7">
        <v>165</v>
      </c>
      <c r="Y75" s="10">
        <v>190</v>
      </c>
      <c r="Z75" s="10">
        <v>320</v>
      </c>
      <c r="AA75" s="7" t="s">
        <v>40</v>
      </c>
      <c r="AB75" s="11">
        <v>1940</v>
      </c>
      <c r="AC75" s="12">
        <v>1930</v>
      </c>
      <c r="AD75" s="12">
        <v>4750</v>
      </c>
      <c r="AE75" s="12">
        <v>1625</v>
      </c>
      <c r="AF75" s="12">
        <v>2900</v>
      </c>
    </row>
    <row r="76" spans="1:32">
      <c r="A76" s="10" t="s">
        <v>197</v>
      </c>
      <c r="B76" s="10" t="s">
        <v>205</v>
      </c>
      <c r="C76" s="10" t="s">
        <v>205</v>
      </c>
      <c r="D76" s="10" t="s">
        <v>209</v>
      </c>
      <c r="E76" s="7" t="str">
        <f t="shared" si="3"/>
        <v>Deepal S07 S7 L (Long Range)</v>
      </c>
      <c r="F76" s="10" t="s">
        <v>35</v>
      </c>
      <c r="G76" s="10" t="s">
        <v>208</v>
      </c>
      <c r="H76" s="7" t="s">
        <v>36</v>
      </c>
      <c r="I76" s="11">
        <v>1499000</v>
      </c>
      <c r="L76" s="7" t="s">
        <v>201</v>
      </c>
      <c r="M76" s="7" t="s">
        <v>91</v>
      </c>
      <c r="N76" s="7" t="s">
        <v>91</v>
      </c>
      <c r="Q76" s="10">
        <v>79.97</v>
      </c>
      <c r="R76" s="10"/>
      <c r="S76" s="7">
        <v>540</v>
      </c>
      <c r="T76" s="7" t="s">
        <v>38</v>
      </c>
      <c r="U76" s="7" t="s">
        <v>39</v>
      </c>
      <c r="V76" s="7" t="s">
        <v>39</v>
      </c>
      <c r="W76" s="7">
        <f t="shared" si="4"/>
        <v>14.809259259259258</v>
      </c>
      <c r="X76" s="7">
        <v>165</v>
      </c>
      <c r="Y76" s="10">
        <v>190</v>
      </c>
      <c r="Z76" s="10">
        <v>320</v>
      </c>
      <c r="AA76" s="7" t="s">
        <v>40</v>
      </c>
      <c r="AB76" s="11">
        <v>1940</v>
      </c>
      <c r="AC76" s="12">
        <v>1930</v>
      </c>
      <c r="AD76" s="12">
        <v>4750</v>
      </c>
      <c r="AE76" s="12">
        <v>1625</v>
      </c>
      <c r="AF76" s="12">
        <v>2900</v>
      </c>
    </row>
    <row r="77" spans="1:32">
      <c r="A77" s="10" t="s">
        <v>197</v>
      </c>
      <c r="B77" s="10" t="s">
        <v>210</v>
      </c>
      <c r="C77" s="10" t="s">
        <v>210</v>
      </c>
      <c r="D77" s="10" t="s">
        <v>211</v>
      </c>
      <c r="E77" s="7" t="str">
        <f t="shared" si="3"/>
        <v>Deepal S05 Lite</v>
      </c>
      <c r="F77" s="10" t="s">
        <v>35</v>
      </c>
      <c r="G77" s="10" t="s">
        <v>193</v>
      </c>
      <c r="H77" s="7" t="s">
        <v>36</v>
      </c>
      <c r="I77" s="11">
        <v>799000</v>
      </c>
      <c r="L77" s="7" t="s">
        <v>212</v>
      </c>
      <c r="M77" s="7" t="s">
        <v>91</v>
      </c>
      <c r="N77" s="7" t="s">
        <v>91</v>
      </c>
      <c r="Q77" s="7">
        <v>56.12</v>
      </c>
      <c r="S77" s="7">
        <v>470</v>
      </c>
      <c r="T77" s="7" t="s">
        <v>38</v>
      </c>
      <c r="U77" s="7" t="s">
        <v>39</v>
      </c>
      <c r="V77" s="7" t="s">
        <v>39</v>
      </c>
      <c r="W77" s="7">
        <f t="shared" si="4"/>
        <v>11.940425531914894</v>
      </c>
      <c r="X77" s="7">
        <v>169</v>
      </c>
      <c r="Y77" s="7">
        <v>175</v>
      </c>
      <c r="Z77" s="7">
        <v>320</v>
      </c>
      <c r="AA77" s="7" t="s">
        <v>40</v>
      </c>
      <c r="AB77" s="11">
        <v>1800</v>
      </c>
      <c r="AC77" s="12">
        <v>1900</v>
      </c>
      <c r="AD77" s="12">
        <v>4620</v>
      </c>
      <c r="AE77" s="12">
        <v>1600</v>
      </c>
      <c r="AF77" s="12">
        <v>2880</v>
      </c>
    </row>
    <row r="78" spans="1:32">
      <c r="A78" s="10" t="s">
        <v>197</v>
      </c>
      <c r="B78" s="10" t="s">
        <v>210</v>
      </c>
      <c r="C78" s="10" t="s">
        <v>210</v>
      </c>
      <c r="D78" s="10" t="s">
        <v>213</v>
      </c>
      <c r="E78" s="7" t="str">
        <f t="shared" si="3"/>
        <v>Deepal S05 Plus</v>
      </c>
      <c r="F78" s="10" t="s">
        <v>35</v>
      </c>
      <c r="G78" s="10" t="s">
        <v>193</v>
      </c>
      <c r="H78" s="7" t="s">
        <v>36</v>
      </c>
      <c r="I78" s="11">
        <v>849000</v>
      </c>
      <c r="L78" s="7" t="s">
        <v>212</v>
      </c>
      <c r="M78" s="7" t="s">
        <v>91</v>
      </c>
      <c r="N78" s="7" t="s">
        <v>91</v>
      </c>
      <c r="Q78" s="7">
        <v>56.12</v>
      </c>
      <c r="S78" s="7">
        <v>470</v>
      </c>
      <c r="T78" s="7" t="s">
        <v>38</v>
      </c>
      <c r="U78" s="7" t="s">
        <v>39</v>
      </c>
      <c r="V78" s="7" t="s">
        <v>39</v>
      </c>
      <c r="W78" s="7">
        <f t="shared" si="4"/>
        <v>11.940425531914894</v>
      </c>
      <c r="X78" s="7">
        <v>169</v>
      </c>
      <c r="Y78" s="7">
        <v>175</v>
      </c>
      <c r="Z78" s="7">
        <v>320</v>
      </c>
      <c r="AA78" s="7" t="s">
        <v>40</v>
      </c>
      <c r="AB78" s="11">
        <v>1800</v>
      </c>
      <c r="AC78" s="12">
        <v>1900</v>
      </c>
      <c r="AD78" s="12">
        <v>4620</v>
      </c>
      <c r="AE78" s="12">
        <v>1600</v>
      </c>
      <c r="AF78" s="12">
        <v>2880</v>
      </c>
    </row>
    <row r="79" spans="1:32">
      <c r="A79" s="10" t="s">
        <v>197</v>
      </c>
      <c r="B79" s="10" t="s">
        <v>210</v>
      </c>
      <c r="C79" s="10" t="s">
        <v>210</v>
      </c>
      <c r="D79" s="10" t="s">
        <v>121</v>
      </c>
      <c r="E79" s="7" t="str">
        <f t="shared" si="3"/>
        <v>Deepal S05 Max</v>
      </c>
      <c r="F79" s="10" t="s">
        <v>35</v>
      </c>
      <c r="G79" s="10" t="s">
        <v>193</v>
      </c>
      <c r="H79" s="7" t="s">
        <v>36</v>
      </c>
      <c r="I79" s="11">
        <v>899000</v>
      </c>
      <c r="L79" s="7" t="s">
        <v>212</v>
      </c>
      <c r="M79" s="7" t="s">
        <v>91</v>
      </c>
      <c r="N79" s="7" t="s">
        <v>91</v>
      </c>
      <c r="Q79" s="7">
        <v>56.12</v>
      </c>
      <c r="S79" s="7">
        <v>470</v>
      </c>
      <c r="T79" s="7" t="s">
        <v>38</v>
      </c>
      <c r="U79" s="7" t="s">
        <v>39</v>
      </c>
      <c r="V79" s="7" t="s">
        <v>39</v>
      </c>
      <c r="W79" s="7">
        <f t="shared" si="4"/>
        <v>11.940425531914894</v>
      </c>
      <c r="X79" s="7">
        <v>169</v>
      </c>
      <c r="Y79" s="7">
        <v>175</v>
      </c>
      <c r="Z79" s="7">
        <v>320</v>
      </c>
      <c r="AA79" s="7" t="s">
        <v>40</v>
      </c>
      <c r="AB79" s="11">
        <v>1800</v>
      </c>
      <c r="AC79" s="12">
        <v>1900</v>
      </c>
      <c r="AD79" s="12">
        <v>4620</v>
      </c>
      <c r="AE79" s="12">
        <v>1600</v>
      </c>
      <c r="AF79" s="12">
        <v>2880</v>
      </c>
    </row>
    <row r="80" spans="1:32">
      <c r="A80" s="10" t="s">
        <v>197</v>
      </c>
      <c r="B80" s="10" t="s">
        <v>210</v>
      </c>
      <c r="C80" s="10" t="s">
        <v>210</v>
      </c>
      <c r="D80" s="10" t="s">
        <v>214</v>
      </c>
      <c r="E80" s="7" t="str">
        <f t="shared" si="3"/>
        <v>Deepal S05 Max Long Range</v>
      </c>
      <c r="F80" s="10" t="s">
        <v>35</v>
      </c>
      <c r="G80" s="10" t="s">
        <v>193</v>
      </c>
      <c r="H80" s="7" t="s">
        <v>36</v>
      </c>
      <c r="I80" s="11">
        <v>999000</v>
      </c>
      <c r="L80" s="7" t="s">
        <v>215</v>
      </c>
      <c r="M80" s="7" t="s">
        <v>91</v>
      </c>
      <c r="N80" s="7" t="s">
        <v>91</v>
      </c>
      <c r="Q80" s="7">
        <v>68.819999999999993</v>
      </c>
      <c r="S80" s="7">
        <v>560</v>
      </c>
      <c r="T80" s="7" t="s">
        <v>38</v>
      </c>
      <c r="U80" s="7" t="s">
        <v>39</v>
      </c>
      <c r="V80" s="7" t="s">
        <v>39</v>
      </c>
      <c r="W80" s="7">
        <f t="shared" si="4"/>
        <v>12.289285714285715</v>
      </c>
      <c r="X80" s="7">
        <v>169</v>
      </c>
      <c r="Y80" s="7">
        <v>200</v>
      </c>
      <c r="Z80" s="7">
        <v>290</v>
      </c>
      <c r="AA80" s="7" t="s">
        <v>40</v>
      </c>
      <c r="AB80" s="11">
        <v>1880</v>
      </c>
      <c r="AC80" s="12">
        <v>1900</v>
      </c>
      <c r="AD80" s="12">
        <v>4620</v>
      </c>
      <c r="AE80" s="12">
        <v>1600</v>
      </c>
      <c r="AF80" s="12">
        <v>2880</v>
      </c>
    </row>
    <row r="81" spans="1:32">
      <c r="A81" s="10" t="s">
        <v>197</v>
      </c>
      <c r="B81" s="10" t="s">
        <v>216</v>
      </c>
      <c r="C81" s="10" t="s">
        <v>216</v>
      </c>
      <c r="D81" s="10" t="s">
        <v>213</v>
      </c>
      <c r="E81" s="7" t="str">
        <f t="shared" si="3"/>
        <v>Deepal S05 (REEV) Plus</v>
      </c>
      <c r="F81" s="10" t="s">
        <v>35</v>
      </c>
      <c r="G81" s="10" t="s">
        <v>193</v>
      </c>
      <c r="H81" s="7" t="s">
        <v>204</v>
      </c>
      <c r="I81" s="11">
        <v>949000</v>
      </c>
      <c r="L81" s="7" t="s">
        <v>217</v>
      </c>
      <c r="M81" s="7" t="s">
        <v>91</v>
      </c>
      <c r="N81" s="7" t="s">
        <v>91</v>
      </c>
      <c r="Q81" s="7">
        <v>27.28</v>
      </c>
      <c r="S81" s="7">
        <v>170</v>
      </c>
      <c r="T81" s="7" t="s">
        <v>38</v>
      </c>
      <c r="U81" s="7" t="s">
        <v>39</v>
      </c>
      <c r="V81" s="7" t="s">
        <v>39</v>
      </c>
      <c r="W81" s="7">
        <f t="shared" si="4"/>
        <v>16.047058823529412</v>
      </c>
      <c r="X81" s="7">
        <v>169</v>
      </c>
      <c r="Y81" s="7">
        <v>160</v>
      </c>
      <c r="Z81" s="7">
        <v>320</v>
      </c>
      <c r="AA81" s="7" t="s">
        <v>40</v>
      </c>
      <c r="AB81" s="11">
        <v>1900</v>
      </c>
      <c r="AC81" s="12">
        <v>1900</v>
      </c>
      <c r="AD81" s="12">
        <v>4620</v>
      </c>
      <c r="AE81" s="12">
        <v>1600</v>
      </c>
      <c r="AF81" s="12">
        <v>2880</v>
      </c>
    </row>
    <row r="82" spans="1:32">
      <c r="A82" s="10" t="s">
        <v>197</v>
      </c>
      <c r="B82" s="10" t="s">
        <v>216</v>
      </c>
      <c r="C82" s="10" t="s">
        <v>216</v>
      </c>
      <c r="D82" s="10" t="s">
        <v>121</v>
      </c>
      <c r="E82" s="7" t="str">
        <f t="shared" si="3"/>
        <v>Deepal S05 (REEV) Max</v>
      </c>
      <c r="F82" s="10" t="s">
        <v>35</v>
      </c>
      <c r="G82" s="10" t="s">
        <v>193</v>
      </c>
      <c r="H82" s="7" t="s">
        <v>204</v>
      </c>
      <c r="I82" s="11">
        <v>999000</v>
      </c>
      <c r="L82" s="7" t="s">
        <v>217</v>
      </c>
      <c r="M82" s="7" t="s">
        <v>91</v>
      </c>
      <c r="N82" s="7" t="s">
        <v>91</v>
      </c>
      <c r="Q82" s="7">
        <v>27.28</v>
      </c>
      <c r="S82" s="7">
        <v>170</v>
      </c>
      <c r="T82" s="7" t="s">
        <v>38</v>
      </c>
      <c r="U82" s="7" t="s">
        <v>39</v>
      </c>
      <c r="V82" s="7" t="s">
        <v>39</v>
      </c>
      <c r="W82" s="7">
        <f t="shared" si="4"/>
        <v>16.047058823529412</v>
      </c>
      <c r="X82" s="7">
        <v>169</v>
      </c>
      <c r="Y82" s="7">
        <v>160</v>
      </c>
      <c r="Z82" s="7">
        <v>320</v>
      </c>
      <c r="AA82" s="7" t="s">
        <v>40</v>
      </c>
      <c r="AB82" s="11">
        <v>1900</v>
      </c>
      <c r="AC82" s="12">
        <v>1900</v>
      </c>
      <c r="AD82" s="12">
        <v>4620</v>
      </c>
      <c r="AE82" s="12">
        <v>1600</v>
      </c>
      <c r="AF82" s="12">
        <v>2880</v>
      </c>
    </row>
    <row r="83" spans="1:32" ht="20.25" customHeight="1">
      <c r="A83" s="10" t="s">
        <v>197</v>
      </c>
      <c r="B83" s="10" t="s">
        <v>218</v>
      </c>
      <c r="C83" s="10" t="s">
        <v>218</v>
      </c>
      <c r="D83" s="10" t="s">
        <v>213</v>
      </c>
      <c r="E83" s="7" t="str">
        <f t="shared" si="3"/>
        <v>Deepal E07 Plus</v>
      </c>
      <c r="F83" s="10" t="s">
        <v>35</v>
      </c>
      <c r="G83" s="10" t="s">
        <v>219</v>
      </c>
      <c r="H83" s="7" t="s">
        <v>36</v>
      </c>
      <c r="I83" s="11">
        <v>1699000</v>
      </c>
      <c r="J83" s="17"/>
      <c r="K83" s="17"/>
      <c r="L83" s="7" t="s">
        <v>220</v>
      </c>
      <c r="M83" s="7" t="s">
        <v>91</v>
      </c>
      <c r="N83" s="7" t="s">
        <v>91</v>
      </c>
      <c r="Q83" s="7">
        <v>89.98</v>
      </c>
      <c r="S83" s="7">
        <v>640</v>
      </c>
      <c r="T83" s="7" t="s">
        <v>38</v>
      </c>
      <c r="U83" s="7" t="s">
        <v>92</v>
      </c>
      <c r="V83" s="7" t="s">
        <v>92</v>
      </c>
      <c r="W83" s="7">
        <f t="shared" si="4"/>
        <v>14.059375000000001</v>
      </c>
      <c r="X83" s="7">
        <v>183</v>
      </c>
      <c r="Y83" s="7">
        <v>250</v>
      </c>
      <c r="Z83" s="7">
        <v>365</v>
      </c>
      <c r="AA83" s="7" t="s">
        <v>40</v>
      </c>
      <c r="AB83" s="11">
        <v>2300</v>
      </c>
      <c r="AC83" s="12">
        <v>1990</v>
      </c>
      <c r="AD83" s="12">
        <v>5045</v>
      </c>
      <c r="AE83" s="12">
        <v>1640</v>
      </c>
      <c r="AF83" s="12">
        <v>3120</v>
      </c>
    </row>
    <row r="84" spans="1:32" ht="17.25" customHeight="1">
      <c r="A84" s="10" t="s">
        <v>197</v>
      </c>
      <c r="B84" s="10" t="s">
        <v>218</v>
      </c>
      <c r="C84" s="10" t="s">
        <v>218</v>
      </c>
      <c r="D84" s="10" t="s">
        <v>67</v>
      </c>
      <c r="E84" s="7" t="str">
        <f t="shared" si="3"/>
        <v>Deepal E07 Performance AWD</v>
      </c>
      <c r="F84" s="10" t="s">
        <v>35</v>
      </c>
      <c r="G84" s="10" t="s">
        <v>219</v>
      </c>
      <c r="H84" s="7" t="s">
        <v>221</v>
      </c>
      <c r="I84" s="11">
        <v>2099000</v>
      </c>
      <c r="J84" s="17"/>
      <c r="K84" s="17"/>
      <c r="L84" s="7" t="s">
        <v>220</v>
      </c>
      <c r="M84" s="7" t="s">
        <v>91</v>
      </c>
      <c r="N84" s="7" t="s">
        <v>91</v>
      </c>
      <c r="Q84" s="7">
        <v>89.98</v>
      </c>
      <c r="S84" s="7">
        <v>590</v>
      </c>
      <c r="T84" s="7" t="s">
        <v>38</v>
      </c>
      <c r="U84" s="7" t="s">
        <v>92</v>
      </c>
      <c r="V84" s="7" t="s">
        <v>92</v>
      </c>
      <c r="W84" s="7">
        <f t="shared" si="4"/>
        <v>15.25084745762712</v>
      </c>
      <c r="X84" s="7">
        <v>183</v>
      </c>
      <c r="Y84" s="7">
        <v>440</v>
      </c>
      <c r="Z84" s="7">
        <v>645</v>
      </c>
      <c r="AA84" s="7" t="s">
        <v>40</v>
      </c>
      <c r="AB84" s="11">
        <v>2450</v>
      </c>
      <c r="AC84" s="12">
        <v>1990</v>
      </c>
      <c r="AD84" s="12">
        <v>5045</v>
      </c>
      <c r="AE84" s="12">
        <v>1640</v>
      </c>
      <c r="AF84" s="12">
        <v>3120</v>
      </c>
    </row>
    <row r="85" spans="1:32" ht="18" customHeight="1">
      <c r="A85" s="10" t="s">
        <v>197</v>
      </c>
      <c r="B85" s="10" t="s">
        <v>222</v>
      </c>
      <c r="C85" s="10" t="s">
        <v>222</v>
      </c>
      <c r="D85" s="7" t="s">
        <v>223</v>
      </c>
      <c r="E85" s="7" t="str">
        <f t="shared" si="3"/>
        <v>Deepal Hunter K50 REEV PLUS AWD</v>
      </c>
      <c r="F85" s="7" t="s">
        <v>224</v>
      </c>
      <c r="G85" s="10" t="s">
        <v>225</v>
      </c>
      <c r="H85" s="7" t="s">
        <v>204</v>
      </c>
      <c r="I85" s="11">
        <v>1099000</v>
      </c>
      <c r="L85" s="7" t="s">
        <v>226</v>
      </c>
      <c r="M85" s="7" t="s">
        <v>91</v>
      </c>
      <c r="N85" s="7" t="s">
        <v>91</v>
      </c>
      <c r="Q85" s="7">
        <v>31.18</v>
      </c>
      <c r="S85" s="7">
        <v>131</v>
      </c>
      <c r="T85" s="7" t="s">
        <v>38</v>
      </c>
      <c r="U85" s="7" t="s">
        <v>39</v>
      </c>
      <c r="V85" s="7" t="s">
        <v>39</v>
      </c>
      <c r="W85" s="7">
        <f t="shared" si="4"/>
        <v>23.801526717557252</v>
      </c>
      <c r="X85" s="7">
        <v>220</v>
      </c>
      <c r="Y85" s="7">
        <v>200</v>
      </c>
      <c r="Z85" s="7">
        <v>470</v>
      </c>
      <c r="AA85" s="7" t="s">
        <v>40</v>
      </c>
      <c r="AB85" s="11">
        <v>2050</v>
      </c>
      <c r="AC85" s="12">
        <v>1930</v>
      </c>
      <c r="AD85" s="12">
        <v>5050</v>
      </c>
      <c r="AE85" s="12">
        <v>1930</v>
      </c>
      <c r="AF85" s="12">
        <v>2880</v>
      </c>
    </row>
    <row r="86" spans="1:32" ht="22.5" customHeight="1">
      <c r="A86" s="10" t="s">
        <v>197</v>
      </c>
      <c r="B86" s="10" t="s">
        <v>222</v>
      </c>
      <c r="C86" s="10" t="s">
        <v>222</v>
      </c>
      <c r="D86" s="7" t="s">
        <v>227</v>
      </c>
      <c r="E86" s="7" t="str">
        <f t="shared" si="3"/>
        <v>Deepal Hunter K50 REEV MAX AWD</v>
      </c>
      <c r="F86" s="7" t="s">
        <v>224</v>
      </c>
      <c r="G86" s="10" t="s">
        <v>225</v>
      </c>
      <c r="H86" s="7" t="s">
        <v>204</v>
      </c>
      <c r="I86" s="11">
        <v>1249000</v>
      </c>
      <c r="L86" s="7" t="s">
        <v>226</v>
      </c>
      <c r="M86" s="7" t="s">
        <v>91</v>
      </c>
      <c r="N86" s="7" t="s">
        <v>91</v>
      </c>
      <c r="Q86" s="7">
        <v>31.18</v>
      </c>
      <c r="S86" s="7">
        <v>131</v>
      </c>
      <c r="T86" s="7" t="s">
        <v>38</v>
      </c>
      <c r="U86" s="7" t="s">
        <v>39</v>
      </c>
      <c r="V86" s="7" t="s">
        <v>39</v>
      </c>
      <c r="W86" s="7">
        <f t="shared" si="4"/>
        <v>23.801526717557252</v>
      </c>
      <c r="X86" s="7">
        <v>220</v>
      </c>
      <c r="Y86" s="7">
        <v>200</v>
      </c>
      <c r="Z86" s="7">
        <v>470</v>
      </c>
      <c r="AA86" s="7" t="s">
        <v>40</v>
      </c>
      <c r="AB86" s="11">
        <v>2050</v>
      </c>
      <c r="AC86" s="12">
        <v>1930</v>
      </c>
      <c r="AD86" s="12">
        <v>5050</v>
      </c>
      <c r="AE86" s="12">
        <v>1930</v>
      </c>
      <c r="AF86" s="12">
        <v>2880</v>
      </c>
    </row>
    <row r="87" spans="1:32">
      <c r="A87" s="10" t="s">
        <v>228</v>
      </c>
      <c r="B87" s="10" t="s">
        <v>229</v>
      </c>
      <c r="C87" s="10" t="s">
        <v>229</v>
      </c>
      <c r="D87" s="7" t="s">
        <v>121</v>
      </c>
      <c r="E87" s="7" t="str">
        <f t="shared" si="3"/>
        <v>Nevo Q05 Max</v>
      </c>
      <c r="F87" s="10" t="s">
        <v>35</v>
      </c>
      <c r="G87" s="10" t="s">
        <v>230</v>
      </c>
      <c r="H87" s="7" t="s">
        <v>36</v>
      </c>
      <c r="I87" s="11">
        <v>599900</v>
      </c>
      <c r="L87" s="7" t="s">
        <v>231</v>
      </c>
      <c r="M87" s="7" t="s">
        <v>91</v>
      </c>
      <c r="N87" s="7" t="s">
        <v>91</v>
      </c>
      <c r="Q87" s="7">
        <v>51.9</v>
      </c>
      <c r="S87" s="7">
        <v>462</v>
      </c>
      <c r="T87" s="7" t="s">
        <v>38</v>
      </c>
      <c r="U87" s="7" t="s">
        <v>39</v>
      </c>
      <c r="V87" s="7" t="s">
        <v>39</v>
      </c>
      <c r="W87" s="7">
        <f t="shared" si="4"/>
        <v>11.233766233766234</v>
      </c>
      <c r="X87" s="7">
        <v>170</v>
      </c>
      <c r="Y87" s="7">
        <v>120</v>
      </c>
      <c r="Z87" s="7">
        <v>190</v>
      </c>
      <c r="AA87" s="7" t="s">
        <v>40</v>
      </c>
      <c r="AB87" s="11">
        <v>1650</v>
      </c>
      <c r="AC87" s="12">
        <v>1865</v>
      </c>
      <c r="AD87" s="12">
        <v>4365</v>
      </c>
      <c r="AE87" s="12">
        <v>1680</v>
      </c>
      <c r="AF87" s="12">
        <v>2650</v>
      </c>
    </row>
    <row r="88" spans="1:32">
      <c r="A88" s="10" t="s">
        <v>228</v>
      </c>
      <c r="B88" s="10" t="s">
        <v>229</v>
      </c>
      <c r="C88" s="10" t="s">
        <v>229</v>
      </c>
      <c r="D88" s="7" t="s">
        <v>184</v>
      </c>
      <c r="E88" s="7" t="str">
        <f t="shared" si="3"/>
        <v>Nevo Q05 Ultra</v>
      </c>
      <c r="F88" s="10" t="s">
        <v>35</v>
      </c>
      <c r="G88" s="10" t="s">
        <v>230</v>
      </c>
      <c r="H88" s="7" t="s">
        <v>36</v>
      </c>
      <c r="I88" s="11">
        <v>679900</v>
      </c>
      <c r="L88" s="7" t="s">
        <v>231</v>
      </c>
      <c r="M88" s="7" t="s">
        <v>91</v>
      </c>
      <c r="N88" s="7" t="s">
        <v>91</v>
      </c>
      <c r="Q88" s="7">
        <v>51.9</v>
      </c>
      <c r="S88" s="7">
        <v>462</v>
      </c>
      <c r="T88" s="7" t="s">
        <v>38</v>
      </c>
      <c r="U88" s="7" t="s">
        <v>39</v>
      </c>
      <c r="V88" s="7" t="s">
        <v>39</v>
      </c>
      <c r="W88" s="7">
        <f t="shared" si="4"/>
        <v>11.233766233766234</v>
      </c>
      <c r="X88" s="7">
        <v>170</v>
      </c>
      <c r="Y88" s="7">
        <v>120</v>
      </c>
      <c r="Z88" s="7">
        <v>190</v>
      </c>
      <c r="AA88" s="7" t="s">
        <v>40</v>
      </c>
      <c r="AB88" s="11">
        <v>1650</v>
      </c>
      <c r="AC88" s="12">
        <v>1865</v>
      </c>
      <c r="AD88" s="12">
        <v>4365</v>
      </c>
      <c r="AE88" s="12">
        <v>1680</v>
      </c>
      <c r="AF88" s="12">
        <v>2650</v>
      </c>
    </row>
    <row r="89" spans="1:32" ht="21.75" customHeight="1">
      <c r="A89" s="10" t="s">
        <v>232</v>
      </c>
      <c r="B89" s="10" t="s">
        <v>233</v>
      </c>
      <c r="C89" s="10" t="s">
        <v>233</v>
      </c>
      <c r="D89" s="10" t="s">
        <v>234</v>
      </c>
      <c r="E89" s="7" t="str">
        <f t="shared" si="3"/>
        <v>Changan Lumin L</v>
      </c>
      <c r="F89" s="10" t="s">
        <v>47</v>
      </c>
      <c r="G89" s="10" t="s">
        <v>186</v>
      </c>
      <c r="H89" s="7" t="s">
        <v>36</v>
      </c>
      <c r="I89" s="11">
        <v>479000</v>
      </c>
      <c r="L89" s="7" t="s">
        <v>235</v>
      </c>
      <c r="M89" s="7" t="s">
        <v>91</v>
      </c>
      <c r="N89" s="7" t="s">
        <v>91</v>
      </c>
      <c r="Q89" s="7">
        <v>27.98</v>
      </c>
      <c r="S89" s="7">
        <v>301</v>
      </c>
      <c r="T89" s="7" t="s">
        <v>38</v>
      </c>
      <c r="U89" s="7" t="s">
        <v>39</v>
      </c>
      <c r="V89" s="7" t="s">
        <v>39</v>
      </c>
      <c r="W89" s="7">
        <f t="shared" si="4"/>
        <v>9.2956810631229239</v>
      </c>
      <c r="X89" s="7">
        <v>150</v>
      </c>
      <c r="Y89" s="7">
        <v>35</v>
      </c>
      <c r="Z89" s="7">
        <v>83</v>
      </c>
      <c r="AA89" s="7" t="s">
        <v>40</v>
      </c>
      <c r="AB89" s="7">
        <v>920</v>
      </c>
      <c r="AC89" s="12">
        <v>1700</v>
      </c>
      <c r="AD89" s="12">
        <v>3270</v>
      </c>
      <c r="AE89" s="12">
        <v>1545</v>
      </c>
      <c r="AF89" s="12">
        <v>1980</v>
      </c>
    </row>
    <row r="90" spans="1:32" ht="17.25" customHeight="1">
      <c r="A90" s="10" t="s">
        <v>232</v>
      </c>
      <c r="B90" s="10" t="s">
        <v>233</v>
      </c>
      <c r="C90" s="10" t="s">
        <v>233</v>
      </c>
      <c r="D90" s="10" t="s">
        <v>236</v>
      </c>
      <c r="E90" s="7" t="str">
        <f t="shared" si="3"/>
        <v>Changan Lumin L DC</v>
      </c>
      <c r="F90" s="10" t="s">
        <v>47</v>
      </c>
      <c r="G90" s="10" t="s">
        <v>186</v>
      </c>
      <c r="H90" s="7" t="s">
        <v>36</v>
      </c>
      <c r="I90" s="11">
        <v>499000</v>
      </c>
      <c r="L90" s="7" t="s">
        <v>237</v>
      </c>
      <c r="M90" s="7" t="s">
        <v>91</v>
      </c>
      <c r="N90" s="7" t="s">
        <v>91</v>
      </c>
      <c r="Q90" s="7">
        <v>28.08</v>
      </c>
      <c r="S90" s="7">
        <v>301</v>
      </c>
      <c r="T90" s="7" t="s">
        <v>38</v>
      </c>
      <c r="U90" s="7" t="s">
        <v>39</v>
      </c>
      <c r="V90" s="7" t="s">
        <v>39</v>
      </c>
      <c r="W90" s="7">
        <f t="shared" si="4"/>
        <v>9.3289036544850497</v>
      </c>
      <c r="X90" s="7">
        <v>150</v>
      </c>
      <c r="Y90" s="7">
        <v>35</v>
      </c>
      <c r="Z90" s="7">
        <v>83</v>
      </c>
      <c r="AA90" s="7" t="s">
        <v>40</v>
      </c>
      <c r="AB90" s="7">
        <v>925</v>
      </c>
      <c r="AC90" s="12">
        <v>1700</v>
      </c>
      <c r="AD90" s="12">
        <v>3270</v>
      </c>
      <c r="AE90" s="12">
        <v>1545</v>
      </c>
      <c r="AF90" s="12">
        <v>1980</v>
      </c>
    </row>
    <row r="91" spans="1:32">
      <c r="A91" s="10" t="s">
        <v>238</v>
      </c>
      <c r="B91" s="10" t="s">
        <v>239</v>
      </c>
      <c r="C91" s="10" t="s">
        <v>240</v>
      </c>
      <c r="D91" s="10" t="s">
        <v>241</v>
      </c>
      <c r="E91" s="7" t="str">
        <f t="shared" si="3"/>
        <v>XPENG G6 EV Standard Range RWD</v>
      </c>
      <c r="F91" s="10" t="s">
        <v>35</v>
      </c>
      <c r="G91" s="10" t="s">
        <v>65</v>
      </c>
      <c r="H91" s="7" t="s">
        <v>36</v>
      </c>
      <c r="I91" s="11">
        <v>1189000</v>
      </c>
      <c r="L91" s="7" t="s">
        <v>242</v>
      </c>
      <c r="M91" s="7" t="s">
        <v>91</v>
      </c>
      <c r="N91" s="7" t="s">
        <v>91</v>
      </c>
      <c r="Q91" s="7">
        <v>68.5</v>
      </c>
      <c r="R91" s="7">
        <v>470</v>
      </c>
      <c r="S91" s="7">
        <v>540</v>
      </c>
      <c r="T91" s="7" t="s">
        <v>38</v>
      </c>
      <c r="U91" s="7" t="s">
        <v>39</v>
      </c>
      <c r="V91" s="7" t="s">
        <v>39</v>
      </c>
      <c r="W91" s="7">
        <v>16.899999999999999</v>
      </c>
      <c r="X91" s="7">
        <v>140</v>
      </c>
      <c r="Y91" s="7">
        <v>185</v>
      </c>
      <c r="Z91" s="7">
        <v>440</v>
      </c>
      <c r="AA91" s="7" t="s">
        <v>243</v>
      </c>
      <c r="AB91" s="11">
        <v>2065</v>
      </c>
      <c r="AC91" s="12">
        <v>1920</v>
      </c>
      <c r="AD91" s="12">
        <v>4753</v>
      </c>
      <c r="AE91" s="12">
        <v>1650</v>
      </c>
      <c r="AF91" s="12">
        <v>2890</v>
      </c>
    </row>
    <row r="92" spans="1:32">
      <c r="A92" s="10" t="s">
        <v>238</v>
      </c>
      <c r="B92" s="10" t="s">
        <v>239</v>
      </c>
      <c r="C92" s="10" t="s">
        <v>239</v>
      </c>
      <c r="D92" s="10" t="s">
        <v>244</v>
      </c>
      <c r="E92" s="7" t="str">
        <f t="shared" si="3"/>
        <v>XPENG G6 Long Range RWD</v>
      </c>
      <c r="F92" s="10" t="s">
        <v>35</v>
      </c>
      <c r="G92" s="10" t="s">
        <v>65</v>
      </c>
      <c r="H92" s="7" t="s">
        <v>36</v>
      </c>
      <c r="I92" s="11">
        <v>1349000</v>
      </c>
      <c r="L92" s="7" t="s">
        <v>245</v>
      </c>
      <c r="M92" s="7" t="s">
        <v>91</v>
      </c>
      <c r="N92" s="7" t="s">
        <v>91</v>
      </c>
      <c r="Q92" s="7">
        <v>80.8</v>
      </c>
      <c r="R92" s="7">
        <v>525</v>
      </c>
      <c r="S92" s="7">
        <v>600</v>
      </c>
      <c r="T92" s="7" t="s">
        <v>38</v>
      </c>
      <c r="U92" s="7" t="s">
        <v>39</v>
      </c>
      <c r="V92" s="7" t="s">
        <v>39</v>
      </c>
      <c r="W92" s="7">
        <v>17.899999999999999</v>
      </c>
      <c r="X92" s="7">
        <v>140</v>
      </c>
      <c r="Y92" s="7">
        <v>218</v>
      </c>
      <c r="Z92" s="7">
        <v>440</v>
      </c>
      <c r="AA92" s="7" t="s">
        <v>243</v>
      </c>
      <c r="AB92" s="11">
        <v>2115</v>
      </c>
      <c r="AC92" s="12">
        <v>1920</v>
      </c>
      <c r="AD92" s="12">
        <v>4753</v>
      </c>
      <c r="AE92" s="12">
        <v>1650</v>
      </c>
      <c r="AF92" s="12">
        <v>2890</v>
      </c>
    </row>
    <row r="93" spans="1:32">
      <c r="A93" s="10" t="s">
        <v>238</v>
      </c>
      <c r="B93" s="10" t="s">
        <v>239</v>
      </c>
      <c r="C93" s="10" t="s">
        <v>239</v>
      </c>
      <c r="D93" s="10" t="s">
        <v>67</v>
      </c>
      <c r="E93" s="7" t="str">
        <f t="shared" si="3"/>
        <v>XPENG G6 Performance AWD</v>
      </c>
      <c r="F93" s="10" t="s">
        <v>35</v>
      </c>
      <c r="G93" s="10" t="s">
        <v>65</v>
      </c>
      <c r="H93" s="7" t="s">
        <v>36</v>
      </c>
      <c r="I93" s="11">
        <v>1489000</v>
      </c>
      <c r="L93" s="7" t="s">
        <v>245</v>
      </c>
      <c r="M93" s="7" t="s">
        <v>91</v>
      </c>
      <c r="N93" s="7" t="s">
        <v>91</v>
      </c>
      <c r="Q93" s="7">
        <v>80.8</v>
      </c>
      <c r="R93" s="7">
        <v>510</v>
      </c>
      <c r="S93" s="7">
        <v>575</v>
      </c>
      <c r="T93" s="7" t="s">
        <v>38</v>
      </c>
      <c r="U93" s="7" t="s">
        <v>39</v>
      </c>
      <c r="V93" s="7" t="s">
        <v>39</v>
      </c>
      <c r="W93" s="7">
        <v>18.399999999999999</v>
      </c>
      <c r="X93" s="7">
        <v>140</v>
      </c>
      <c r="Y93" s="7">
        <v>358</v>
      </c>
      <c r="Z93" s="7">
        <v>660</v>
      </c>
      <c r="AA93" s="7" t="s">
        <v>243</v>
      </c>
      <c r="AB93" s="11">
        <v>2220</v>
      </c>
      <c r="AC93" s="12">
        <v>1920</v>
      </c>
      <c r="AD93" s="12">
        <v>4753</v>
      </c>
      <c r="AE93" s="12">
        <v>1650</v>
      </c>
      <c r="AF93" s="12">
        <v>2890</v>
      </c>
    </row>
    <row r="94" spans="1:32">
      <c r="A94" s="10" t="s">
        <v>238</v>
      </c>
      <c r="B94" s="10" t="s">
        <v>246</v>
      </c>
      <c r="C94" s="10" t="s">
        <v>246</v>
      </c>
      <c r="D94" s="7" t="s">
        <v>247</v>
      </c>
      <c r="E94" s="7" t="str">
        <f t="shared" si="3"/>
        <v>XPENG X9 Premium 7-Seater</v>
      </c>
      <c r="F94" s="10" t="s">
        <v>60</v>
      </c>
      <c r="G94" s="10" t="s">
        <v>60</v>
      </c>
      <c r="H94" s="7" t="s">
        <v>36</v>
      </c>
      <c r="I94" s="11">
        <v>2399000</v>
      </c>
      <c r="L94" s="7" t="s">
        <v>248</v>
      </c>
      <c r="M94" s="7" t="s">
        <v>91</v>
      </c>
      <c r="N94" s="7" t="s">
        <v>91</v>
      </c>
      <c r="Q94" s="7">
        <v>94.8</v>
      </c>
      <c r="R94" s="7">
        <v>535</v>
      </c>
      <c r="S94" s="7">
        <v>620</v>
      </c>
      <c r="T94" s="7" t="s">
        <v>38</v>
      </c>
      <c r="U94" s="7" t="s">
        <v>39</v>
      </c>
      <c r="V94" s="7" t="s">
        <v>39</v>
      </c>
      <c r="W94" s="7">
        <f>(Q94/R94)*100</f>
        <v>17.719626168224298</v>
      </c>
      <c r="X94" s="7">
        <v>145</v>
      </c>
      <c r="Y94" s="7">
        <v>255</v>
      </c>
      <c r="Z94" s="7">
        <v>450</v>
      </c>
      <c r="AA94" s="7" t="s">
        <v>243</v>
      </c>
      <c r="AB94" s="18">
        <v>2850</v>
      </c>
      <c r="AC94" s="12">
        <v>1988</v>
      </c>
      <c r="AD94" s="12">
        <v>5293</v>
      </c>
      <c r="AE94" s="12">
        <v>1785</v>
      </c>
      <c r="AF94" s="12">
        <v>3160</v>
      </c>
    </row>
    <row r="95" spans="1:32">
      <c r="A95" s="10" t="s">
        <v>238</v>
      </c>
      <c r="B95" s="10" t="s">
        <v>246</v>
      </c>
      <c r="C95" s="10" t="s">
        <v>249</v>
      </c>
      <c r="D95" s="7" t="s">
        <v>250</v>
      </c>
      <c r="E95" s="7" t="str">
        <f t="shared" si="3"/>
        <v>XPENG X9 EV Executive 7-Seater</v>
      </c>
      <c r="F95" s="10" t="s">
        <v>60</v>
      </c>
      <c r="G95" s="10" t="s">
        <v>60</v>
      </c>
      <c r="H95" s="7" t="s">
        <v>36</v>
      </c>
      <c r="I95" s="11">
        <v>2599000</v>
      </c>
      <c r="L95" s="7" t="s">
        <v>251</v>
      </c>
      <c r="M95" s="7" t="s">
        <v>91</v>
      </c>
      <c r="N95" s="7" t="s">
        <v>91</v>
      </c>
      <c r="Q95" s="7">
        <v>110</v>
      </c>
      <c r="R95" s="7">
        <v>615</v>
      </c>
      <c r="S95" s="7">
        <v>715</v>
      </c>
      <c r="T95" s="7" t="s">
        <v>38</v>
      </c>
      <c r="U95" s="7" t="s">
        <v>92</v>
      </c>
      <c r="V95" s="7" t="s">
        <v>92</v>
      </c>
      <c r="W95" s="7">
        <f>(Q95/R95)*100</f>
        <v>17.886178861788618</v>
      </c>
      <c r="X95" s="7">
        <v>145</v>
      </c>
      <c r="Y95" s="7">
        <v>255</v>
      </c>
      <c r="Z95" s="7">
        <v>450</v>
      </c>
      <c r="AA95" s="7" t="s">
        <v>243</v>
      </c>
      <c r="AB95" s="18">
        <v>2795</v>
      </c>
      <c r="AC95" s="12">
        <v>1988</v>
      </c>
      <c r="AD95" s="12">
        <v>5293</v>
      </c>
      <c r="AE95" s="12">
        <v>1785</v>
      </c>
      <c r="AF95" s="12">
        <v>3160</v>
      </c>
    </row>
    <row r="96" spans="1:32">
      <c r="A96" s="10" t="s">
        <v>238</v>
      </c>
      <c r="B96" s="10" t="s">
        <v>246</v>
      </c>
      <c r="C96" s="10" t="s">
        <v>246</v>
      </c>
      <c r="D96" s="7" t="s">
        <v>252</v>
      </c>
      <c r="E96" s="7" t="str">
        <f t="shared" si="3"/>
        <v>XPENG X9 Luxury AWD 7-Seater</v>
      </c>
      <c r="F96" s="10" t="s">
        <v>60</v>
      </c>
      <c r="G96" s="10" t="s">
        <v>60</v>
      </c>
      <c r="H96" s="7" t="s">
        <v>36</v>
      </c>
      <c r="I96" s="11">
        <v>2799000</v>
      </c>
      <c r="L96" s="7" t="s">
        <v>251</v>
      </c>
      <c r="M96" s="7" t="s">
        <v>91</v>
      </c>
      <c r="N96" s="7" t="s">
        <v>91</v>
      </c>
      <c r="Q96" s="7">
        <v>110</v>
      </c>
      <c r="R96" s="7">
        <v>580</v>
      </c>
      <c r="S96" s="7">
        <v>670</v>
      </c>
      <c r="T96" s="7" t="s">
        <v>38</v>
      </c>
      <c r="U96" s="7" t="s">
        <v>92</v>
      </c>
      <c r="V96" s="7" t="s">
        <v>92</v>
      </c>
      <c r="W96" s="7">
        <f>(Q96/R96)*100</f>
        <v>18.96551724137931</v>
      </c>
      <c r="X96" s="7">
        <v>145</v>
      </c>
      <c r="Y96" s="7">
        <v>395</v>
      </c>
      <c r="Z96" s="7">
        <v>640</v>
      </c>
      <c r="AA96" s="7" t="s">
        <v>243</v>
      </c>
      <c r="AB96" s="18">
        <v>2845</v>
      </c>
      <c r="AC96" s="12">
        <v>1988</v>
      </c>
      <c r="AD96" s="12">
        <v>5293</v>
      </c>
      <c r="AE96" s="12">
        <v>1785</v>
      </c>
      <c r="AF96" s="12">
        <v>3160</v>
      </c>
    </row>
    <row r="97" spans="1:32">
      <c r="A97" s="10" t="s">
        <v>253</v>
      </c>
      <c r="B97" s="10" t="s">
        <v>99</v>
      </c>
      <c r="C97" s="10" t="s">
        <v>254</v>
      </c>
      <c r="D97" s="10" t="s">
        <v>255</v>
      </c>
      <c r="E97" s="7" t="str">
        <f t="shared" si="3"/>
        <v>ZEEKR X EV Standard RWD</v>
      </c>
      <c r="F97" s="10" t="s">
        <v>35</v>
      </c>
      <c r="G97" s="10" t="s">
        <v>35</v>
      </c>
      <c r="H97" s="7" t="s">
        <v>36</v>
      </c>
      <c r="I97" s="11">
        <v>899000</v>
      </c>
      <c r="L97" s="7" t="s">
        <v>256</v>
      </c>
      <c r="M97" s="7" t="s">
        <v>91</v>
      </c>
      <c r="N97" s="7" t="s">
        <v>91</v>
      </c>
      <c r="Q97" s="7">
        <v>61</v>
      </c>
      <c r="S97" s="7">
        <v>450</v>
      </c>
      <c r="T97" s="7" t="s">
        <v>38</v>
      </c>
      <c r="U97" s="7" t="s">
        <v>39</v>
      </c>
      <c r="V97" s="7" t="s">
        <v>39</v>
      </c>
      <c r="W97" s="7">
        <f t="shared" ref="W97:W153" si="5">(Q97/S97)*100</f>
        <v>13.555555555555557</v>
      </c>
      <c r="X97" s="7">
        <v>191</v>
      </c>
      <c r="Y97" s="7">
        <v>250</v>
      </c>
      <c r="Z97" s="7">
        <v>373</v>
      </c>
      <c r="AA97" s="7" t="s">
        <v>40</v>
      </c>
      <c r="AB97" s="11">
        <v>1945</v>
      </c>
      <c r="AC97" s="12">
        <v>1836</v>
      </c>
      <c r="AD97" s="12">
        <v>4450</v>
      </c>
      <c r="AE97" s="12">
        <v>1572</v>
      </c>
      <c r="AF97" s="12">
        <v>2750</v>
      </c>
    </row>
    <row r="98" spans="1:32">
      <c r="A98" s="10" t="s">
        <v>253</v>
      </c>
      <c r="B98" s="10" t="s">
        <v>99</v>
      </c>
      <c r="C98" s="10" t="s">
        <v>99</v>
      </c>
      <c r="D98" s="10" t="s">
        <v>257</v>
      </c>
      <c r="E98" s="7" t="str">
        <f t="shared" si="3"/>
        <v>ZEEKR X Flagship AWD</v>
      </c>
      <c r="F98" s="10" t="s">
        <v>35</v>
      </c>
      <c r="G98" s="10" t="s">
        <v>35</v>
      </c>
      <c r="H98" s="7" t="s">
        <v>36</v>
      </c>
      <c r="I98" s="11">
        <v>1069000</v>
      </c>
      <c r="L98" s="7" t="s">
        <v>258</v>
      </c>
      <c r="M98" s="7" t="s">
        <v>91</v>
      </c>
      <c r="N98" s="7" t="s">
        <v>91</v>
      </c>
      <c r="Q98" s="7">
        <v>66</v>
      </c>
      <c r="S98" s="7">
        <v>470</v>
      </c>
      <c r="T98" s="7" t="s">
        <v>38</v>
      </c>
      <c r="U98" s="7" t="s">
        <v>92</v>
      </c>
      <c r="V98" s="7" t="s">
        <v>92</v>
      </c>
      <c r="W98" s="7">
        <f t="shared" si="5"/>
        <v>14.042553191489363</v>
      </c>
      <c r="X98" s="7">
        <v>191</v>
      </c>
      <c r="Y98" s="7">
        <v>365</v>
      </c>
      <c r="Z98" s="7">
        <v>573</v>
      </c>
      <c r="AA98" s="7" t="s">
        <v>40</v>
      </c>
      <c r="AB98" s="11">
        <v>2010</v>
      </c>
      <c r="AC98" s="12">
        <v>1836</v>
      </c>
      <c r="AD98" s="12">
        <v>4450</v>
      </c>
      <c r="AE98" s="12">
        <v>1572</v>
      </c>
      <c r="AF98" s="12">
        <v>2750</v>
      </c>
    </row>
    <row r="99" spans="1:32">
      <c r="A99" s="10" t="s">
        <v>253</v>
      </c>
      <c r="B99" s="10">
        <v>9</v>
      </c>
      <c r="C99" s="10" t="s">
        <v>259</v>
      </c>
      <c r="D99" s="10" t="s">
        <v>260</v>
      </c>
      <c r="E99" s="7" t="str">
        <f t="shared" si="3"/>
        <v>ZEEKR 9 EV 7-Seater Standard FWD</v>
      </c>
      <c r="F99" s="10" t="s">
        <v>60</v>
      </c>
      <c r="G99" s="10" t="s">
        <v>60</v>
      </c>
      <c r="H99" s="7" t="s">
        <v>36</v>
      </c>
      <c r="I99" s="11">
        <v>2399000</v>
      </c>
      <c r="L99" s="7" t="s">
        <v>261</v>
      </c>
      <c r="M99" s="7" t="s">
        <v>91</v>
      </c>
      <c r="N99" s="7" t="s">
        <v>91</v>
      </c>
      <c r="Q99" s="7">
        <v>116</v>
      </c>
      <c r="S99" s="7">
        <v>604</v>
      </c>
      <c r="T99" s="7" t="s">
        <v>38</v>
      </c>
      <c r="U99" s="7" t="s">
        <v>92</v>
      </c>
      <c r="V99" s="7" t="s">
        <v>92</v>
      </c>
      <c r="W99" s="7">
        <f t="shared" si="5"/>
        <v>19.205298013245034</v>
      </c>
      <c r="X99" s="7">
        <v>142</v>
      </c>
      <c r="Y99" s="7">
        <v>250</v>
      </c>
      <c r="Z99" s="7">
        <v>373</v>
      </c>
      <c r="AA99" s="7" t="s">
        <v>40</v>
      </c>
      <c r="AB99" s="11">
        <v>2945</v>
      </c>
      <c r="AC99" s="12">
        <v>1990</v>
      </c>
      <c r="AD99" s="12">
        <v>5256</v>
      </c>
      <c r="AE99" s="12">
        <v>1810</v>
      </c>
      <c r="AF99" s="12">
        <v>3205</v>
      </c>
    </row>
    <row r="100" spans="1:32">
      <c r="A100" s="10" t="s">
        <v>253</v>
      </c>
      <c r="B100" s="10">
        <v>9</v>
      </c>
      <c r="C100" s="10">
        <v>9</v>
      </c>
      <c r="D100" s="10" t="s">
        <v>262</v>
      </c>
      <c r="E100" s="7" t="str">
        <f t="shared" si="3"/>
        <v>ZEEKR 9 7-Seater Premium AWD</v>
      </c>
      <c r="F100" s="10" t="s">
        <v>60</v>
      </c>
      <c r="G100" s="10" t="s">
        <v>60</v>
      </c>
      <c r="H100" s="7" t="s">
        <v>36</v>
      </c>
      <c r="I100" s="11">
        <v>3099000</v>
      </c>
      <c r="L100" s="7" t="s">
        <v>261</v>
      </c>
      <c r="M100" s="7" t="s">
        <v>91</v>
      </c>
      <c r="N100" s="7" t="s">
        <v>91</v>
      </c>
      <c r="Q100" s="7">
        <v>116</v>
      </c>
      <c r="S100" s="7">
        <v>686</v>
      </c>
      <c r="T100" s="7" t="s">
        <v>38</v>
      </c>
      <c r="U100" s="7" t="s">
        <v>92</v>
      </c>
      <c r="V100" s="7" t="s">
        <v>92</v>
      </c>
      <c r="W100" s="7">
        <f t="shared" si="5"/>
        <v>16.909620991253643</v>
      </c>
      <c r="X100" s="7">
        <v>142</v>
      </c>
      <c r="Y100" s="7">
        <v>450</v>
      </c>
      <c r="Z100" s="7">
        <v>693</v>
      </c>
      <c r="AA100" s="7" t="s">
        <v>40</v>
      </c>
      <c r="AB100" s="11">
        <v>2945</v>
      </c>
      <c r="AC100" s="12">
        <v>1990</v>
      </c>
      <c r="AD100" s="12">
        <v>5256</v>
      </c>
      <c r="AE100" s="12">
        <v>1810</v>
      </c>
      <c r="AF100" s="12">
        <v>3205</v>
      </c>
    </row>
    <row r="101" spans="1:32">
      <c r="A101" s="10" t="s">
        <v>253</v>
      </c>
      <c r="B101" s="10">
        <v>9</v>
      </c>
      <c r="C101" s="10">
        <v>9</v>
      </c>
      <c r="D101" s="10" t="s">
        <v>263</v>
      </c>
      <c r="E101" s="7" t="str">
        <f t="shared" si="3"/>
        <v>ZEEKR 9 6-Seater Flagship AWD</v>
      </c>
      <c r="F101" s="10" t="s">
        <v>60</v>
      </c>
      <c r="G101" s="10" t="s">
        <v>60</v>
      </c>
      <c r="H101" s="7" t="s">
        <v>36</v>
      </c>
      <c r="I101" s="11">
        <v>3159000</v>
      </c>
      <c r="L101" s="7" t="s">
        <v>261</v>
      </c>
      <c r="M101" s="7" t="s">
        <v>91</v>
      </c>
      <c r="N101" s="7" t="s">
        <v>91</v>
      </c>
      <c r="Q101" s="7">
        <v>116</v>
      </c>
      <c r="S101" s="7">
        <v>686</v>
      </c>
      <c r="T101" s="7" t="s">
        <v>38</v>
      </c>
      <c r="U101" s="7" t="s">
        <v>92</v>
      </c>
      <c r="V101" s="7" t="s">
        <v>92</v>
      </c>
      <c r="W101" s="7">
        <f t="shared" si="5"/>
        <v>16.909620991253643</v>
      </c>
      <c r="X101" s="7">
        <v>142</v>
      </c>
      <c r="Y101" s="7">
        <v>450</v>
      </c>
      <c r="Z101" s="7">
        <v>693</v>
      </c>
      <c r="AA101" s="7" t="s">
        <v>40</v>
      </c>
      <c r="AB101" s="11">
        <v>2945</v>
      </c>
      <c r="AC101" s="12">
        <v>1990</v>
      </c>
      <c r="AD101" s="12">
        <v>5256</v>
      </c>
      <c r="AE101" s="12">
        <v>1810</v>
      </c>
      <c r="AF101" s="12">
        <v>3205</v>
      </c>
    </row>
    <row r="102" spans="1:32">
      <c r="A102" s="10" t="s">
        <v>253</v>
      </c>
      <c r="B102" s="10" t="s">
        <v>264</v>
      </c>
      <c r="C102" s="10" t="s">
        <v>264</v>
      </c>
      <c r="D102" s="10" t="s">
        <v>255</v>
      </c>
      <c r="E102" s="7" t="str">
        <f t="shared" si="3"/>
        <v>ZEEKR 7X Standard RWD</v>
      </c>
      <c r="F102" s="10" t="s">
        <v>35</v>
      </c>
      <c r="G102" s="10" t="s">
        <v>35</v>
      </c>
      <c r="H102" s="7" t="s">
        <v>36</v>
      </c>
      <c r="I102" s="11">
        <v>1399000</v>
      </c>
      <c r="L102" s="7" t="s">
        <v>258</v>
      </c>
      <c r="M102" s="7" t="s">
        <v>91</v>
      </c>
      <c r="N102" s="7" t="s">
        <v>91</v>
      </c>
      <c r="Q102" s="7">
        <v>75</v>
      </c>
      <c r="S102" s="7">
        <v>566</v>
      </c>
      <c r="T102" s="7" t="s">
        <v>38</v>
      </c>
      <c r="U102" s="7" t="s">
        <v>39</v>
      </c>
      <c r="V102" s="7" t="s">
        <v>39</v>
      </c>
      <c r="W102" s="7">
        <f t="shared" si="5"/>
        <v>13.250883392226148</v>
      </c>
      <c r="X102" s="7">
        <v>172</v>
      </c>
      <c r="Y102" s="7">
        <v>310</v>
      </c>
      <c r="Z102" s="7">
        <v>440</v>
      </c>
      <c r="AA102" s="7" t="s">
        <v>40</v>
      </c>
      <c r="AB102" s="11">
        <v>2395</v>
      </c>
      <c r="AC102" s="12">
        <v>1900</v>
      </c>
      <c r="AD102" s="12">
        <v>4787</v>
      </c>
      <c r="AE102" s="12">
        <v>1650</v>
      </c>
      <c r="AF102" s="12">
        <v>2925</v>
      </c>
    </row>
    <row r="103" spans="1:32">
      <c r="A103" s="10" t="s">
        <v>253</v>
      </c>
      <c r="B103" s="10" t="s">
        <v>264</v>
      </c>
      <c r="C103" s="10" t="s">
        <v>265</v>
      </c>
      <c r="D103" s="10" t="s">
        <v>244</v>
      </c>
      <c r="E103" s="7" t="str">
        <f t="shared" si="3"/>
        <v>ZEEKR 7X EV Long Range RWD</v>
      </c>
      <c r="F103" s="10" t="s">
        <v>35</v>
      </c>
      <c r="G103" s="10" t="s">
        <v>35</v>
      </c>
      <c r="H103" s="7" t="s">
        <v>36</v>
      </c>
      <c r="I103" s="11">
        <v>1599000</v>
      </c>
      <c r="L103" s="7" t="s">
        <v>258</v>
      </c>
      <c r="M103" s="7" t="s">
        <v>91</v>
      </c>
      <c r="N103" s="7" t="s">
        <v>91</v>
      </c>
      <c r="Q103" s="7">
        <v>100</v>
      </c>
      <c r="S103" s="7">
        <v>730</v>
      </c>
      <c r="T103" s="7" t="s">
        <v>38</v>
      </c>
      <c r="U103" s="7" t="s">
        <v>92</v>
      </c>
      <c r="V103" s="7" t="s">
        <v>92</v>
      </c>
      <c r="W103" s="7">
        <f t="shared" si="5"/>
        <v>13.698630136986301</v>
      </c>
      <c r="X103" s="7">
        <v>172</v>
      </c>
      <c r="Y103" s="7">
        <v>310</v>
      </c>
      <c r="Z103" s="7">
        <v>440</v>
      </c>
      <c r="AA103" s="7" t="s">
        <v>40</v>
      </c>
      <c r="AB103" s="11">
        <v>2415</v>
      </c>
      <c r="AC103" s="12">
        <v>1900</v>
      </c>
      <c r="AD103" s="12">
        <v>4787</v>
      </c>
      <c r="AE103" s="12">
        <v>1650</v>
      </c>
      <c r="AF103" s="12">
        <v>2925</v>
      </c>
    </row>
    <row r="104" spans="1:32">
      <c r="A104" s="10" t="s">
        <v>253</v>
      </c>
      <c r="B104" s="10" t="s">
        <v>264</v>
      </c>
      <c r="C104" s="10" t="s">
        <v>264</v>
      </c>
      <c r="D104" s="10" t="s">
        <v>67</v>
      </c>
      <c r="E104" s="7" t="str">
        <f t="shared" si="3"/>
        <v>ZEEKR 7X Performance AWD</v>
      </c>
      <c r="F104" s="10" t="s">
        <v>35</v>
      </c>
      <c r="G104" s="10" t="s">
        <v>35</v>
      </c>
      <c r="H104" s="7" t="s">
        <v>36</v>
      </c>
      <c r="I104" s="11">
        <v>1799000</v>
      </c>
      <c r="L104" s="7" t="s">
        <v>258</v>
      </c>
      <c r="M104" s="7" t="s">
        <v>91</v>
      </c>
      <c r="N104" s="7" t="s">
        <v>91</v>
      </c>
      <c r="Q104" s="7">
        <v>100</v>
      </c>
      <c r="S104" s="7">
        <v>635</v>
      </c>
      <c r="T104" s="7" t="s">
        <v>38</v>
      </c>
      <c r="U104" s="7" t="s">
        <v>92</v>
      </c>
      <c r="V104" s="7" t="s">
        <v>92</v>
      </c>
      <c r="W104" s="7">
        <f t="shared" si="5"/>
        <v>15.748031496062993</v>
      </c>
      <c r="X104" s="7">
        <v>172</v>
      </c>
      <c r="Y104" s="7">
        <v>475</v>
      </c>
      <c r="Z104" s="7">
        <v>710</v>
      </c>
      <c r="AA104" s="7" t="s">
        <v>40</v>
      </c>
      <c r="AB104" s="11">
        <v>2535</v>
      </c>
      <c r="AC104" s="12">
        <v>1900</v>
      </c>
      <c r="AD104" s="12">
        <v>4787</v>
      </c>
      <c r="AE104" s="12">
        <v>1650</v>
      </c>
      <c r="AF104" s="12">
        <v>2925</v>
      </c>
    </row>
    <row r="105" spans="1:32">
      <c r="A105" s="10" t="s">
        <v>266</v>
      </c>
      <c r="B105" s="10">
        <v>11</v>
      </c>
      <c r="C105" s="10">
        <v>11</v>
      </c>
      <c r="D105" s="10" t="s">
        <v>241</v>
      </c>
      <c r="E105" s="7" t="str">
        <f t="shared" si="3"/>
        <v>AVATR 11 Standard Range RWD</v>
      </c>
      <c r="F105" s="10" t="s">
        <v>35</v>
      </c>
      <c r="G105" s="10" t="s">
        <v>35</v>
      </c>
      <c r="H105" s="7" t="s">
        <v>36</v>
      </c>
      <c r="I105" s="11">
        <v>2099000</v>
      </c>
      <c r="L105" s="7" t="s">
        <v>267</v>
      </c>
      <c r="M105" s="7" t="s">
        <v>91</v>
      </c>
      <c r="N105" s="7" t="s">
        <v>91</v>
      </c>
      <c r="Q105" s="7">
        <v>90.38</v>
      </c>
      <c r="S105" s="7">
        <v>575</v>
      </c>
      <c r="T105" s="7" t="s">
        <v>38</v>
      </c>
      <c r="U105" s="7" t="s">
        <v>92</v>
      </c>
      <c r="V105" s="7" t="s">
        <v>92</v>
      </c>
      <c r="W105" s="7">
        <f t="shared" si="5"/>
        <v>15.718260869565217</v>
      </c>
      <c r="X105" s="7">
        <v>170</v>
      </c>
      <c r="Y105" s="7">
        <v>230</v>
      </c>
      <c r="Z105" s="7">
        <v>370</v>
      </c>
      <c r="AA105" s="7" t="s">
        <v>40</v>
      </c>
      <c r="AB105" s="7">
        <v>2180</v>
      </c>
      <c r="AC105" s="12">
        <v>1975</v>
      </c>
      <c r="AD105" s="12">
        <v>4880</v>
      </c>
      <c r="AE105" s="12">
        <v>1601</v>
      </c>
      <c r="AF105" s="12">
        <v>2975</v>
      </c>
    </row>
    <row r="106" spans="1:32">
      <c r="A106" s="10" t="s">
        <v>266</v>
      </c>
      <c r="B106" s="10">
        <v>11</v>
      </c>
      <c r="C106" s="10" t="s">
        <v>268</v>
      </c>
      <c r="D106" s="10" t="s">
        <v>269</v>
      </c>
      <c r="E106" s="7" t="str">
        <f t="shared" si="3"/>
        <v>AVATR 11 EV Long Range AWD</v>
      </c>
      <c r="F106" s="10" t="s">
        <v>35</v>
      </c>
      <c r="G106" s="10" t="s">
        <v>35</v>
      </c>
      <c r="H106" s="7" t="s">
        <v>36</v>
      </c>
      <c r="I106" s="11">
        <v>2299000</v>
      </c>
      <c r="L106" s="7" t="s">
        <v>267</v>
      </c>
      <c r="M106" s="7" t="s">
        <v>91</v>
      </c>
      <c r="N106" s="7" t="s">
        <v>91</v>
      </c>
      <c r="Q106" s="7">
        <v>116.79</v>
      </c>
      <c r="S106" s="7">
        <v>680</v>
      </c>
      <c r="T106" s="7" t="s">
        <v>38</v>
      </c>
      <c r="U106" s="7" t="s">
        <v>92</v>
      </c>
      <c r="V106" s="7" t="s">
        <v>92</v>
      </c>
      <c r="W106" s="7">
        <f t="shared" si="5"/>
        <v>17.175000000000001</v>
      </c>
      <c r="X106" s="7">
        <v>170</v>
      </c>
      <c r="Y106" s="7" t="s">
        <v>270</v>
      </c>
      <c r="Z106" s="7">
        <v>370</v>
      </c>
      <c r="AA106" s="7" t="s">
        <v>40</v>
      </c>
      <c r="AB106" s="7">
        <v>2260</v>
      </c>
      <c r="AC106" s="12">
        <v>1975</v>
      </c>
      <c r="AD106" s="12">
        <v>4880</v>
      </c>
      <c r="AE106" s="12">
        <v>1601</v>
      </c>
      <c r="AF106" s="12">
        <v>2975</v>
      </c>
    </row>
    <row r="107" spans="1:32">
      <c r="A107" s="10" t="s">
        <v>266</v>
      </c>
      <c r="B107" s="10">
        <v>11</v>
      </c>
      <c r="C107" s="10">
        <v>11</v>
      </c>
      <c r="D107" s="7" t="s">
        <v>271</v>
      </c>
      <c r="E107" s="7" t="str">
        <f t="shared" si="3"/>
        <v>AVATR 11 Royal Edition</v>
      </c>
      <c r="F107" s="10" t="s">
        <v>35</v>
      </c>
      <c r="G107" s="10" t="s">
        <v>35</v>
      </c>
      <c r="H107" s="7" t="s">
        <v>36</v>
      </c>
      <c r="I107" s="11">
        <v>2899000</v>
      </c>
      <c r="L107" s="7" t="s">
        <v>267</v>
      </c>
      <c r="M107" s="7" t="s">
        <v>91</v>
      </c>
      <c r="N107" s="7" t="s">
        <v>91</v>
      </c>
      <c r="Q107" s="7">
        <v>116.79</v>
      </c>
      <c r="S107" s="7">
        <v>630</v>
      </c>
      <c r="T107" s="7" t="s">
        <v>38</v>
      </c>
      <c r="U107" s="7" t="s">
        <v>92</v>
      </c>
      <c r="V107" s="7" t="s">
        <v>92</v>
      </c>
      <c r="W107" s="7">
        <f t="shared" si="5"/>
        <v>18.538095238095238</v>
      </c>
      <c r="X107" s="7">
        <v>170</v>
      </c>
      <c r="Y107" s="7" t="s">
        <v>272</v>
      </c>
      <c r="Z107" s="7">
        <v>641</v>
      </c>
      <c r="AA107" s="7" t="s">
        <v>40</v>
      </c>
      <c r="AB107" s="7">
        <v>2425</v>
      </c>
      <c r="AC107" s="12">
        <v>1975</v>
      </c>
      <c r="AD107" s="12">
        <v>4880</v>
      </c>
      <c r="AE107" s="12">
        <v>1601</v>
      </c>
      <c r="AF107" s="12">
        <v>2975</v>
      </c>
    </row>
    <row r="108" spans="1:32">
      <c r="A108" s="10" t="s">
        <v>266</v>
      </c>
      <c r="B108" s="10">
        <v>7</v>
      </c>
      <c r="C108" s="10" t="s">
        <v>273</v>
      </c>
      <c r="D108" s="10" t="s">
        <v>255</v>
      </c>
      <c r="E108" s="7" t="str">
        <f t="shared" si="3"/>
        <v>AVATR 7 EV Standard RWD</v>
      </c>
      <c r="F108" s="10" t="s">
        <v>35</v>
      </c>
      <c r="G108" s="10" t="s">
        <v>35</v>
      </c>
      <c r="H108" s="7" t="s">
        <v>36</v>
      </c>
      <c r="I108" s="11">
        <v>1659000</v>
      </c>
      <c r="L108" s="7" t="s">
        <v>274</v>
      </c>
      <c r="M108" s="7" t="s">
        <v>91</v>
      </c>
      <c r="N108" s="7" t="s">
        <v>91</v>
      </c>
      <c r="Q108" s="7">
        <v>82.16</v>
      </c>
      <c r="S108" s="7">
        <v>575</v>
      </c>
      <c r="T108" s="7" t="s">
        <v>38</v>
      </c>
      <c r="U108" s="7" t="s">
        <v>39</v>
      </c>
      <c r="V108" s="7" t="s">
        <v>39</v>
      </c>
      <c r="W108" s="7">
        <f t="shared" si="5"/>
        <v>14.288695652173914</v>
      </c>
      <c r="X108" s="7">
        <v>190</v>
      </c>
      <c r="Y108" s="7">
        <v>252</v>
      </c>
      <c r="Z108" s="7">
        <v>365</v>
      </c>
      <c r="AA108" s="7" t="s">
        <v>40</v>
      </c>
      <c r="AB108" s="7">
        <v>2290</v>
      </c>
      <c r="AC108" s="12">
        <v>1970</v>
      </c>
      <c r="AD108" s="12">
        <v>4825</v>
      </c>
      <c r="AE108" s="12">
        <v>1620</v>
      </c>
      <c r="AF108" s="12">
        <v>2940</v>
      </c>
    </row>
    <row r="109" spans="1:32">
      <c r="A109" s="10" t="s">
        <v>266</v>
      </c>
      <c r="B109" s="10">
        <v>7</v>
      </c>
      <c r="C109" s="10">
        <v>7</v>
      </c>
      <c r="D109" s="10" t="s">
        <v>275</v>
      </c>
      <c r="E109" s="7" t="str">
        <f t="shared" si="3"/>
        <v>AVATR 7 Ultra AWD</v>
      </c>
      <c r="F109" s="10" t="s">
        <v>35</v>
      </c>
      <c r="G109" s="10" t="s">
        <v>35</v>
      </c>
      <c r="H109" s="7" t="s">
        <v>36</v>
      </c>
      <c r="I109" s="11">
        <v>1859000</v>
      </c>
      <c r="L109" s="7" t="s">
        <v>274</v>
      </c>
      <c r="M109" s="7" t="s">
        <v>91</v>
      </c>
      <c r="N109" s="7" t="s">
        <v>91</v>
      </c>
      <c r="Q109" s="7">
        <v>82.16</v>
      </c>
      <c r="S109" s="7">
        <v>545</v>
      </c>
      <c r="T109" s="7" t="s">
        <v>38</v>
      </c>
      <c r="U109" s="7" t="s">
        <v>39</v>
      </c>
      <c r="V109" s="7" t="s">
        <v>39</v>
      </c>
      <c r="W109" s="7">
        <f t="shared" si="5"/>
        <v>15.075229357798165</v>
      </c>
      <c r="X109" s="7">
        <v>190</v>
      </c>
      <c r="Y109" s="7">
        <v>440</v>
      </c>
      <c r="Z109" s="7">
        <v>645</v>
      </c>
      <c r="AA109" s="7" t="s">
        <v>40</v>
      </c>
      <c r="AB109" s="7">
        <v>2420</v>
      </c>
      <c r="AC109" s="12">
        <v>1970</v>
      </c>
      <c r="AD109" s="12">
        <v>4825</v>
      </c>
      <c r="AE109" s="12">
        <v>1620</v>
      </c>
      <c r="AF109" s="12">
        <v>2940</v>
      </c>
    </row>
    <row r="110" spans="1:32">
      <c r="A110" s="10" t="s">
        <v>276</v>
      </c>
      <c r="B110" s="10" t="s">
        <v>277</v>
      </c>
      <c r="C110" s="10" t="s">
        <v>277</v>
      </c>
      <c r="D110" s="10" t="s">
        <v>181</v>
      </c>
      <c r="E110" s="7" t="str">
        <f t="shared" si="3"/>
        <v>Geely EX2 Pro</v>
      </c>
      <c r="F110" s="10" t="s">
        <v>47</v>
      </c>
      <c r="G110" s="10" t="s">
        <v>47</v>
      </c>
      <c r="H110" s="7" t="s">
        <v>36</v>
      </c>
      <c r="I110" s="11">
        <v>399000</v>
      </c>
      <c r="L110" s="7" t="s">
        <v>161</v>
      </c>
      <c r="M110" s="7" t="s">
        <v>91</v>
      </c>
      <c r="N110" s="7" t="s">
        <v>91</v>
      </c>
      <c r="O110" s="8" t="s">
        <v>91</v>
      </c>
      <c r="P110" s="8" t="s">
        <v>91</v>
      </c>
      <c r="Q110" s="7">
        <v>39.4</v>
      </c>
      <c r="R110" s="7">
        <v>325</v>
      </c>
      <c r="S110" s="7">
        <v>395</v>
      </c>
      <c r="T110" s="7" t="s">
        <v>38</v>
      </c>
      <c r="U110" s="7" t="s">
        <v>39</v>
      </c>
      <c r="V110" s="7" t="s">
        <v>39</v>
      </c>
      <c r="W110" s="7">
        <f t="shared" si="5"/>
        <v>9.9746835443037973</v>
      </c>
      <c r="X110" s="7">
        <v>160.80000000000001</v>
      </c>
      <c r="Y110" s="7">
        <v>85</v>
      </c>
      <c r="Z110" s="7">
        <v>150</v>
      </c>
      <c r="AA110" s="7" t="s">
        <v>40</v>
      </c>
      <c r="AB110" s="11">
        <v>1300</v>
      </c>
      <c r="AC110" s="12">
        <v>1685</v>
      </c>
      <c r="AD110" s="12">
        <v>4135</v>
      </c>
      <c r="AE110" s="12">
        <v>1580</v>
      </c>
      <c r="AF110" s="12">
        <v>2650</v>
      </c>
    </row>
    <row r="111" spans="1:32">
      <c r="A111" s="10" t="s">
        <v>276</v>
      </c>
      <c r="B111" s="10" t="s">
        <v>277</v>
      </c>
      <c r="C111" s="10" t="s">
        <v>277</v>
      </c>
      <c r="D111" s="10" t="s">
        <v>121</v>
      </c>
      <c r="E111" s="7" t="str">
        <f t="shared" si="3"/>
        <v>Geely EX2 Max</v>
      </c>
      <c r="F111" s="10" t="s">
        <v>47</v>
      </c>
      <c r="G111" s="10" t="s">
        <v>47</v>
      </c>
      <c r="H111" s="7" t="s">
        <v>36</v>
      </c>
      <c r="I111" s="11">
        <v>429000</v>
      </c>
      <c r="L111" s="7" t="s">
        <v>161</v>
      </c>
      <c r="M111" s="7" t="s">
        <v>91</v>
      </c>
      <c r="N111" s="7" t="s">
        <v>91</v>
      </c>
      <c r="Q111" s="7">
        <v>39.4</v>
      </c>
      <c r="R111" s="7">
        <v>325</v>
      </c>
      <c r="S111" s="7">
        <v>395</v>
      </c>
      <c r="T111" s="7" t="s">
        <v>38</v>
      </c>
      <c r="U111" s="7" t="s">
        <v>39</v>
      </c>
      <c r="V111" s="7" t="s">
        <v>39</v>
      </c>
      <c r="W111" s="7">
        <f t="shared" si="5"/>
        <v>9.9746835443037973</v>
      </c>
      <c r="X111" s="7">
        <v>162</v>
      </c>
      <c r="Y111" s="7">
        <v>85</v>
      </c>
      <c r="Z111" s="7">
        <v>150</v>
      </c>
      <c r="AA111" s="7" t="s">
        <v>40</v>
      </c>
      <c r="AB111" s="11">
        <v>1300</v>
      </c>
      <c r="AC111" s="12">
        <v>1685</v>
      </c>
      <c r="AD111" s="12">
        <v>4135</v>
      </c>
      <c r="AE111" s="12">
        <v>1580</v>
      </c>
      <c r="AF111" s="12">
        <v>2650</v>
      </c>
    </row>
    <row r="112" spans="1:32">
      <c r="A112" s="10" t="s">
        <v>276</v>
      </c>
      <c r="B112" s="7" t="s">
        <v>278</v>
      </c>
      <c r="C112" s="7" t="s">
        <v>278</v>
      </c>
      <c r="D112" s="10" t="s">
        <v>181</v>
      </c>
      <c r="E112" s="7" t="str">
        <f t="shared" si="3"/>
        <v>Geely EX 5 Pro</v>
      </c>
      <c r="F112" s="10" t="s">
        <v>35</v>
      </c>
      <c r="G112" s="10" t="s">
        <v>35</v>
      </c>
      <c r="H112" s="7" t="s">
        <v>36</v>
      </c>
      <c r="I112" s="11">
        <v>739000</v>
      </c>
      <c r="L112" s="7" t="s">
        <v>279</v>
      </c>
      <c r="M112" s="7" t="s">
        <v>280</v>
      </c>
      <c r="N112" s="7" t="s">
        <v>280</v>
      </c>
      <c r="Q112" s="7">
        <v>60.22</v>
      </c>
      <c r="R112" s="7">
        <v>430</v>
      </c>
      <c r="S112" s="7">
        <v>495</v>
      </c>
      <c r="T112" s="7" t="s">
        <v>38</v>
      </c>
      <c r="U112" s="7" t="s">
        <v>39</v>
      </c>
      <c r="V112" s="7" t="s">
        <v>39</v>
      </c>
      <c r="W112" s="7">
        <f t="shared" si="5"/>
        <v>12.165656565656565</v>
      </c>
      <c r="X112" s="7">
        <v>145</v>
      </c>
      <c r="Y112" s="7">
        <v>160</v>
      </c>
      <c r="Z112" s="7">
        <v>320</v>
      </c>
      <c r="AA112" s="7" t="s">
        <v>40</v>
      </c>
      <c r="AB112" s="11">
        <v>1715</v>
      </c>
      <c r="AC112" s="12">
        <v>1900</v>
      </c>
      <c r="AD112" s="12">
        <v>4615</v>
      </c>
      <c r="AE112" s="12">
        <v>1670</v>
      </c>
      <c r="AF112" s="12">
        <v>2750</v>
      </c>
    </row>
    <row r="113" spans="1:32">
      <c r="A113" s="10" t="s">
        <v>276</v>
      </c>
      <c r="B113" s="7" t="s">
        <v>278</v>
      </c>
      <c r="C113" s="10" t="s">
        <v>281</v>
      </c>
      <c r="D113" s="10" t="s">
        <v>121</v>
      </c>
      <c r="E113" s="7" t="str">
        <f t="shared" si="3"/>
        <v>Geely EX5 Max</v>
      </c>
      <c r="F113" s="10" t="s">
        <v>35</v>
      </c>
      <c r="G113" s="10" t="s">
        <v>35</v>
      </c>
      <c r="H113" s="7" t="s">
        <v>36</v>
      </c>
      <c r="I113" s="11">
        <v>849000</v>
      </c>
      <c r="L113" s="7" t="s">
        <v>279</v>
      </c>
      <c r="M113" s="7" t="s">
        <v>280</v>
      </c>
      <c r="N113" s="7" t="s">
        <v>280</v>
      </c>
      <c r="Q113" s="7">
        <v>60.22</v>
      </c>
      <c r="R113" s="7">
        <v>425</v>
      </c>
      <c r="S113" s="7">
        <v>490</v>
      </c>
      <c r="T113" s="7" t="s">
        <v>38</v>
      </c>
      <c r="U113" s="7" t="s">
        <v>39</v>
      </c>
      <c r="V113" s="7" t="s">
        <v>39</v>
      </c>
      <c r="W113" s="7">
        <f t="shared" si="5"/>
        <v>12.289795918367346</v>
      </c>
      <c r="X113" s="7">
        <v>145</v>
      </c>
      <c r="Y113" s="7">
        <v>160</v>
      </c>
      <c r="Z113" s="7">
        <v>320</v>
      </c>
      <c r="AA113" s="7" t="s">
        <v>40</v>
      </c>
      <c r="AB113" s="11">
        <v>1765</v>
      </c>
      <c r="AC113" s="12">
        <v>1900</v>
      </c>
      <c r="AD113" s="12">
        <v>4615</v>
      </c>
      <c r="AE113" s="12">
        <v>1670</v>
      </c>
      <c r="AF113" s="12">
        <v>2750</v>
      </c>
    </row>
    <row r="114" spans="1:32">
      <c r="A114" s="10" t="s">
        <v>276</v>
      </c>
      <c r="B114" s="10" t="s">
        <v>281</v>
      </c>
      <c r="C114" s="10" t="s">
        <v>281</v>
      </c>
      <c r="D114" s="10" t="s">
        <v>282</v>
      </c>
      <c r="E114" s="7" t="str">
        <f t="shared" si="3"/>
        <v>Geely EX5 Max+</v>
      </c>
      <c r="F114" s="10" t="s">
        <v>35</v>
      </c>
      <c r="G114" s="10" t="s">
        <v>35</v>
      </c>
      <c r="H114" s="7" t="s">
        <v>36</v>
      </c>
      <c r="I114" s="11">
        <v>899000</v>
      </c>
      <c r="L114" s="7" t="s">
        <v>279</v>
      </c>
      <c r="M114" s="7" t="s">
        <v>280</v>
      </c>
      <c r="N114" s="7" t="s">
        <v>280</v>
      </c>
      <c r="Q114" s="7">
        <v>68.39</v>
      </c>
      <c r="R114" s="7">
        <v>450</v>
      </c>
      <c r="S114" s="7">
        <v>525</v>
      </c>
      <c r="T114" s="7" t="s">
        <v>38</v>
      </c>
      <c r="U114" s="7" t="s">
        <v>39</v>
      </c>
      <c r="V114" s="7" t="s">
        <v>39</v>
      </c>
      <c r="W114" s="7">
        <f t="shared" si="5"/>
        <v>13.026666666666667</v>
      </c>
      <c r="X114" s="7">
        <v>145</v>
      </c>
      <c r="Y114" s="7">
        <v>160</v>
      </c>
      <c r="Z114" s="7">
        <v>320</v>
      </c>
      <c r="AA114" s="7" t="s">
        <v>40</v>
      </c>
      <c r="AB114" s="11">
        <v>1815</v>
      </c>
      <c r="AC114" s="12">
        <v>1900</v>
      </c>
      <c r="AD114" s="12">
        <v>4615</v>
      </c>
      <c r="AE114" s="12">
        <v>1670</v>
      </c>
      <c r="AF114" s="12">
        <v>2750</v>
      </c>
    </row>
    <row r="115" spans="1:32">
      <c r="A115" s="7" t="s">
        <v>283</v>
      </c>
      <c r="B115" s="7" t="s">
        <v>284</v>
      </c>
      <c r="C115" s="7" t="s">
        <v>284</v>
      </c>
      <c r="D115" s="7" t="s">
        <v>285</v>
      </c>
      <c r="E115" s="7" t="str">
        <f t="shared" si="3"/>
        <v>Leapmotor C10 Design</v>
      </c>
      <c r="F115" s="10" t="s">
        <v>35</v>
      </c>
      <c r="G115" s="7" t="s">
        <v>35</v>
      </c>
      <c r="H115" s="7" t="s">
        <v>36</v>
      </c>
      <c r="I115" s="11">
        <v>898000</v>
      </c>
      <c r="L115" s="7" t="s">
        <v>286</v>
      </c>
      <c r="M115" s="7" t="s">
        <v>287</v>
      </c>
      <c r="N115" s="7" t="s">
        <v>287</v>
      </c>
      <c r="Q115" s="7">
        <v>69.900000000000006</v>
      </c>
      <c r="S115" s="7">
        <v>477</v>
      </c>
      <c r="T115" s="7" t="s">
        <v>38</v>
      </c>
      <c r="U115" s="7" t="s">
        <v>39</v>
      </c>
      <c r="V115" s="7" t="s">
        <v>39</v>
      </c>
      <c r="W115" s="7">
        <f t="shared" si="5"/>
        <v>14.654088050314467</v>
      </c>
      <c r="X115" s="7">
        <v>190</v>
      </c>
      <c r="Y115" s="7">
        <v>160</v>
      </c>
      <c r="Z115" s="7">
        <v>320</v>
      </c>
      <c r="AA115" s="7" t="s">
        <v>40</v>
      </c>
      <c r="AB115" s="11">
        <v>1979</v>
      </c>
      <c r="AC115" s="12">
        <v>1900</v>
      </c>
      <c r="AD115" s="12">
        <v>4739</v>
      </c>
      <c r="AE115" s="12">
        <v>1680</v>
      </c>
      <c r="AF115" s="12">
        <v>2825</v>
      </c>
    </row>
    <row r="116" spans="1:32">
      <c r="A116" s="7" t="s">
        <v>283</v>
      </c>
      <c r="B116" s="7" t="s">
        <v>284</v>
      </c>
      <c r="C116" s="7" t="s">
        <v>284</v>
      </c>
      <c r="D116" s="7" t="s">
        <v>288</v>
      </c>
      <c r="E116" s="7" t="str">
        <f t="shared" si="3"/>
        <v>Leapmotor C10 Style (Limited)</v>
      </c>
      <c r="F116" s="10" t="s">
        <v>35</v>
      </c>
      <c r="G116" s="7" t="s">
        <v>35</v>
      </c>
      <c r="H116" s="7" t="s">
        <v>36</v>
      </c>
      <c r="I116" s="11">
        <v>978000</v>
      </c>
      <c r="L116" s="7" t="s">
        <v>286</v>
      </c>
      <c r="M116" s="7" t="s">
        <v>287</v>
      </c>
      <c r="N116" s="7" t="s">
        <v>287</v>
      </c>
      <c r="Q116" s="7">
        <v>69.900000000000006</v>
      </c>
      <c r="S116" s="7">
        <v>477</v>
      </c>
      <c r="T116" s="7" t="s">
        <v>38</v>
      </c>
      <c r="U116" s="7" t="s">
        <v>39</v>
      </c>
      <c r="V116" s="7" t="s">
        <v>39</v>
      </c>
      <c r="W116" s="7">
        <f t="shared" si="5"/>
        <v>14.654088050314467</v>
      </c>
      <c r="X116" s="7">
        <v>190</v>
      </c>
      <c r="Y116" s="7">
        <v>160</v>
      </c>
      <c r="Z116" s="7">
        <v>320</v>
      </c>
      <c r="AA116" s="7" t="s">
        <v>40</v>
      </c>
      <c r="AB116" s="11">
        <v>1980</v>
      </c>
      <c r="AC116" s="12">
        <v>1900</v>
      </c>
      <c r="AD116" s="12">
        <v>4739</v>
      </c>
      <c r="AE116" s="12">
        <v>1680</v>
      </c>
      <c r="AF116" s="12">
        <v>2825</v>
      </c>
    </row>
    <row r="117" spans="1:32">
      <c r="A117" s="7" t="s">
        <v>283</v>
      </c>
      <c r="B117" s="7" t="s">
        <v>289</v>
      </c>
      <c r="C117" s="7" t="s">
        <v>289</v>
      </c>
      <c r="D117" s="7" t="s">
        <v>290</v>
      </c>
      <c r="E117" s="7" t="str">
        <f t="shared" si="3"/>
        <v>Leapmotor B10 Life</v>
      </c>
      <c r="F117" s="10" t="s">
        <v>35</v>
      </c>
      <c r="G117" s="7" t="s">
        <v>35</v>
      </c>
      <c r="H117" s="7" t="s">
        <v>36</v>
      </c>
      <c r="I117" s="11">
        <v>688000</v>
      </c>
      <c r="L117" s="7" t="s">
        <v>291</v>
      </c>
      <c r="M117" s="7" t="s">
        <v>91</v>
      </c>
      <c r="N117" s="7" t="s">
        <v>91</v>
      </c>
      <c r="O117" s="8">
        <v>56.2</v>
      </c>
      <c r="Q117" s="7">
        <v>56.2</v>
      </c>
      <c r="S117" s="7">
        <v>442</v>
      </c>
      <c r="T117" s="7" t="s">
        <v>38</v>
      </c>
      <c r="U117" s="7" t="s">
        <v>39</v>
      </c>
      <c r="V117" s="7" t="s">
        <v>39</v>
      </c>
      <c r="W117" s="7">
        <f t="shared" si="5"/>
        <v>12.714932126696835</v>
      </c>
      <c r="X117" s="7">
        <v>170</v>
      </c>
      <c r="Y117" s="7">
        <v>160</v>
      </c>
      <c r="Z117" s="7">
        <v>240</v>
      </c>
      <c r="AA117" s="7" t="s">
        <v>40</v>
      </c>
      <c r="AB117" s="7">
        <v>1780</v>
      </c>
      <c r="AC117" s="12">
        <v>1885</v>
      </c>
      <c r="AD117" s="12">
        <v>4515</v>
      </c>
      <c r="AE117" s="12">
        <v>1655</v>
      </c>
      <c r="AF117" s="12">
        <v>2735</v>
      </c>
    </row>
    <row r="118" spans="1:32">
      <c r="A118" s="7" t="s">
        <v>283</v>
      </c>
      <c r="B118" s="7" t="s">
        <v>289</v>
      </c>
      <c r="C118" s="7" t="s">
        <v>289</v>
      </c>
      <c r="D118" s="7" t="s">
        <v>292</v>
      </c>
      <c r="E118" s="7" t="str">
        <f t="shared" si="3"/>
        <v>Leapmotor B10 Style</v>
      </c>
      <c r="F118" s="10" t="s">
        <v>35</v>
      </c>
      <c r="G118" s="7" t="s">
        <v>35</v>
      </c>
      <c r="H118" s="7" t="s">
        <v>36</v>
      </c>
      <c r="I118" s="11">
        <v>748000</v>
      </c>
      <c r="L118" s="7" t="s">
        <v>293</v>
      </c>
      <c r="M118" s="7" t="s">
        <v>91</v>
      </c>
      <c r="N118" s="7" t="s">
        <v>91</v>
      </c>
      <c r="O118" s="8">
        <v>67.099999999999994</v>
      </c>
      <c r="Q118" s="7">
        <v>67.099999999999994</v>
      </c>
      <c r="S118" s="7">
        <v>516</v>
      </c>
      <c r="T118" s="7" t="s">
        <v>38</v>
      </c>
      <c r="U118" s="7" t="s">
        <v>39</v>
      </c>
      <c r="V118" s="7" t="s">
        <v>39</v>
      </c>
      <c r="W118" s="7">
        <f t="shared" si="5"/>
        <v>13.003875968992245</v>
      </c>
      <c r="X118" s="7">
        <v>170</v>
      </c>
      <c r="Y118" s="7">
        <v>160</v>
      </c>
      <c r="Z118" s="7">
        <v>240</v>
      </c>
      <c r="AA118" s="7" t="s">
        <v>40</v>
      </c>
      <c r="AB118" s="7">
        <v>1845</v>
      </c>
      <c r="AC118" s="12">
        <v>1885</v>
      </c>
      <c r="AD118" s="12">
        <v>4515</v>
      </c>
      <c r="AE118" s="12">
        <v>1655</v>
      </c>
      <c r="AF118" s="12">
        <v>2735</v>
      </c>
    </row>
    <row r="119" spans="1:32">
      <c r="A119" s="7" t="s">
        <v>283</v>
      </c>
      <c r="B119" s="7" t="s">
        <v>289</v>
      </c>
      <c r="C119" s="7" t="s">
        <v>289</v>
      </c>
      <c r="D119" s="7" t="s">
        <v>285</v>
      </c>
      <c r="E119" s="7" t="str">
        <f t="shared" si="3"/>
        <v>Leapmotor B10 Design</v>
      </c>
      <c r="F119" s="10" t="s">
        <v>35</v>
      </c>
      <c r="G119" s="7" t="s">
        <v>35</v>
      </c>
      <c r="H119" s="7" t="s">
        <v>36</v>
      </c>
      <c r="I119" s="11">
        <v>788000</v>
      </c>
      <c r="L119" s="7" t="s">
        <v>293</v>
      </c>
      <c r="M119" s="7" t="s">
        <v>91</v>
      </c>
      <c r="N119" s="7" t="s">
        <v>91</v>
      </c>
      <c r="O119" s="8">
        <v>67.099999999999994</v>
      </c>
      <c r="Q119" s="7">
        <v>67.099999999999994</v>
      </c>
      <c r="S119" s="7">
        <v>516</v>
      </c>
      <c r="T119" s="7" t="s">
        <v>38</v>
      </c>
      <c r="U119" s="7" t="s">
        <v>39</v>
      </c>
      <c r="V119" s="7" t="s">
        <v>39</v>
      </c>
      <c r="W119" s="7">
        <f t="shared" si="5"/>
        <v>13.003875968992245</v>
      </c>
      <c r="X119" s="7">
        <v>170</v>
      </c>
      <c r="Y119" s="7">
        <v>160</v>
      </c>
      <c r="Z119" s="7">
        <v>240</v>
      </c>
      <c r="AA119" s="7" t="s">
        <v>40</v>
      </c>
      <c r="AB119" s="7">
        <v>1845</v>
      </c>
      <c r="AC119" s="12">
        <v>1885</v>
      </c>
      <c r="AD119" s="12">
        <v>4515</v>
      </c>
      <c r="AE119" s="12">
        <v>1655</v>
      </c>
      <c r="AF119" s="12">
        <v>2735</v>
      </c>
    </row>
    <row r="120" spans="1:32">
      <c r="A120" s="10" t="s">
        <v>294</v>
      </c>
      <c r="B120" s="10" t="s">
        <v>295</v>
      </c>
      <c r="C120" s="10" t="s">
        <v>296</v>
      </c>
      <c r="D120" s="7" t="s">
        <v>297</v>
      </c>
      <c r="E120" s="7" t="str">
        <f t="shared" si="3"/>
        <v>OMODA C5 EV Long Range Plus</v>
      </c>
      <c r="F120" s="10" t="s">
        <v>35</v>
      </c>
      <c r="G120" s="10" t="s">
        <v>35</v>
      </c>
      <c r="H120" s="7" t="s">
        <v>36</v>
      </c>
      <c r="I120" s="11">
        <v>899000</v>
      </c>
      <c r="L120" s="7" t="s">
        <v>298</v>
      </c>
      <c r="M120" s="7" t="s">
        <v>91</v>
      </c>
      <c r="N120" s="7" t="s">
        <v>91</v>
      </c>
      <c r="Q120" s="7">
        <v>61</v>
      </c>
      <c r="S120" s="7">
        <v>505</v>
      </c>
      <c r="T120" s="7" t="s">
        <v>38</v>
      </c>
      <c r="U120" s="7" t="s">
        <v>39</v>
      </c>
      <c r="V120" s="7" t="s">
        <v>39</v>
      </c>
      <c r="W120" s="7">
        <f t="shared" si="5"/>
        <v>12.079207920792079</v>
      </c>
      <c r="X120" s="7">
        <v>171</v>
      </c>
      <c r="Y120" s="7">
        <v>150</v>
      </c>
      <c r="Z120" s="7">
        <v>340</v>
      </c>
      <c r="AA120" s="7" t="s">
        <v>40</v>
      </c>
      <c r="AB120" s="11">
        <v>1710</v>
      </c>
      <c r="AC120" s="12">
        <v>1830</v>
      </c>
      <c r="AD120" s="12">
        <v>4424</v>
      </c>
      <c r="AE120" s="12">
        <v>1588</v>
      </c>
      <c r="AF120" s="12">
        <v>2630</v>
      </c>
    </row>
    <row r="121" spans="1:32">
      <c r="A121" s="10" t="s">
        <v>294</v>
      </c>
      <c r="B121" s="10" t="s">
        <v>295</v>
      </c>
      <c r="C121" s="10" t="s">
        <v>295</v>
      </c>
      <c r="D121" s="7" t="s">
        <v>299</v>
      </c>
      <c r="E121" s="7" t="str">
        <f t="shared" si="3"/>
        <v>OMODA C5 Long Range Ultimate</v>
      </c>
      <c r="F121" s="10" t="s">
        <v>35</v>
      </c>
      <c r="G121" s="10" t="s">
        <v>35</v>
      </c>
      <c r="H121" s="7" t="s">
        <v>36</v>
      </c>
      <c r="I121" s="11">
        <v>949000</v>
      </c>
      <c r="L121" s="7" t="s">
        <v>298</v>
      </c>
      <c r="M121" s="7" t="s">
        <v>91</v>
      </c>
      <c r="N121" s="7" t="s">
        <v>91</v>
      </c>
      <c r="Q121" s="7">
        <v>61</v>
      </c>
      <c r="S121" s="7">
        <v>505</v>
      </c>
      <c r="T121" s="7" t="s">
        <v>38</v>
      </c>
      <c r="U121" s="7" t="s">
        <v>39</v>
      </c>
      <c r="V121" s="7" t="s">
        <v>39</v>
      </c>
      <c r="W121" s="7">
        <f t="shared" si="5"/>
        <v>12.079207920792079</v>
      </c>
      <c r="X121" s="7">
        <v>171</v>
      </c>
      <c r="Y121" s="7">
        <v>150</v>
      </c>
      <c r="Z121" s="7">
        <v>340</v>
      </c>
      <c r="AA121" s="7" t="s">
        <v>40</v>
      </c>
      <c r="AB121" s="11">
        <v>1710</v>
      </c>
      <c r="AC121" s="12">
        <v>1830</v>
      </c>
      <c r="AD121" s="12">
        <v>4424</v>
      </c>
      <c r="AE121" s="12">
        <v>1588</v>
      </c>
      <c r="AF121" s="12">
        <v>2630</v>
      </c>
    </row>
    <row r="122" spans="1:32">
      <c r="A122" s="10" t="s">
        <v>294</v>
      </c>
      <c r="B122" s="10" t="s">
        <v>295</v>
      </c>
      <c r="C122" s="10" t="s">
        <v>295</v>
      </c>
      <c r="D122" s="7" t="s">
        <v>300</v>
      </c>
      <c r="E122" s="7" t="str">
        <f t="shared" si="3"/>
        <v>OMODA C5 Long Range Dynamic</v>
      </c>
      <c r="F122" s="10" t="s">
        <v>35</v>
      </c>
      <c r="G122" s="10" t="s">
        <v>35</v>
      </c>
      <c r="H122" s="7" t="s">
        <v>36</v>
      </c>
      <c r="I122" s="11">
        <v>649000</v>
      </c>
      <c r="L122" s="7" t="s">
        <v>298</v>
      </c>
      <c r="M122" s="7" t="s">
        <v>91</v>
      </c>
      <c r="N122" s="7" t="s">
        <v>91</v>
      </c>
      <c r="Q122" s="7">
        <v>61</v>
      </c>
      <c r="S122" s="7">
        <v>505</v>
      </c>
      <c r="T122" s="7" t="s">
        <v>38</v>
      </c>
      <c r="U122" s="7" t="s">
        <v>39</v>
      </c>
      <c r="V122" s="7" t="s">
        <v>39</v>
      </c>
      <c r="W122" s="7">
        <f t="shared" si="5"/>
        <v>12.079207920792079</v>
      </c>
      <c r="X122" s="7">
        <v>171</v>
      </c>
      <c r="Y122" s="7">
        <v>150</v>
      </c>
      <c r="Z122" s="7">
        <v>340</v>
      </c>
      <c r="AA122" s="7" t="s">
        <v>40</v>
      </c>
      <c r="AB122" s="11">
        <v>1710</v>
      </c>
      <c r="AC122" s="12">
        <v>1830</v>
      </c>
      <c r="AD122" s="12">
        <v>4424</v>
      </c>
      <c r="AE122" s="12">
        <v>1588</v>
      </c>
      <c r="AF122" s="12">
        <v>2630</v>
      </c>
    </row>
    <row r="123" spans="1:32">
      <c r="A123" s="10" t="s">
        <v>294</v>
      </c>
      <c r="B123" s="10" t="s">
        <v>295</v>
      </c>
      <c r="C123" s="10" t="s">
        <v>295</v>
      </c>
      <c r="D123" s="7" t="s">
        <v>301</v>
      </c>
      <c r="E123" s="7" t="str">
        <f t="shared" si="3"/>
        <v>OMODA C5 Long Range Max</v>
      </c>
      <c r="F123" s="10" t="s">
        <v>35</v>
      </c>
      <c r="G123" s="10" t="s">
        <v>35</v>
      </c>
      <c r="H123" s="7" t="s">
        <v>36</v>
      </c>
      <c r="I123" s="11">
        <v>699000</v>
      </c>
      <c r="L123" s="7" t="s">
        <v>298</v>
      </c>
      <c r="M123" s="7" t="s">
        <v>91</v>
      </c>
      <c r="N123" s="7" t="s">
        <v>91</v>
      </c>
      <c r="Q123" s="7">
        <v>61</v>
      </c>
      <c r="S123" s="7">
        <v>505</v>
      </c>
      <c r="T123" s="7" t="s">
        <v>38</v>
      </c>
      <c r="U123" s="7" t="s">
        <v>39</v>
      </c>
      <c r="V123" s="7" t="s">
        <v>39</v>
      </c>
      <c r="W123" s="7">
        <f t="shared" si="5"/>
        <v>12.079207920792079</v>
      </c>
      <c r="X123" s="7">
        <v>171</v>
      </c>
      <c r="Y123" s="7">
        <v>150</v>
      </c>
      <c r="Z123" s="7">
        <v>340</v>
      </c>
      <c r="AA123" s="7" t="s">
        <v>40</v>
      </c>
      <c r="AB123" s="11">
        <v>1710</v>
      </c>
      <c r="AC123" s="12">
        <v>1830</v>
      </c>
      <c r="AD123" s="12">
        <v>4424</v>
      </c>
      <c r="AE123" s="12">
        <v>1588</v>
      </c>
      <c r="AF123" s="12">
        <v>2630</v>
      </c>
    </row>
    <row r="124" spans="1:32">
      <c r="A124" s="10" t="s">
        <v>294</v>
      </c>
      <c r="B124" s="10" t="s">
        <v>295</v>
      </c>
      <c r="C124" s="10" t="s">
        <v>295</v>
      </c>
      <c r="D124" s="7" t="s">
        <v>302</v>
      </c>
      <c r="E124" s="7" t="str">
        <f t="shared" si="3"/>
        <v>OMODA C5 Max +</v>
      </c>
      <c r="F124" s="10" t="s">
        <v>35</v>
      </c>
      <c r="G124" s="10" t="s">
        <v>35</v>
      </c>
      <c r="H124" s="7" t="s">
        <v>36</v>
      </c>
      <c r="I124" s="11">
        <v>709000</v>
      </c>
      <c r="L124" s="7" t="s">
        <v>298</v>
      </c>
      <c r="M124" s="7" t="s">
        <v>91</v>
      </c>
      <c r="N124" s="7" t="s">
        <v>91</v>
      </c>
      <c r="Q124" s="7">
        <v>50.6</v>
      </c>
      <c r="S124" s="7">
        <v>422</v>
      </c>
      <c r="T124" s="7" t="s">
        <v>38</v>
      </c>
      <c r="U124" s="7" t="s">
        <v>39</v>
      </c>
      <c r="V124" s="7" t="s">
        <v>39</v>
      </c>
      <c r="W124" s="7">
        <f t="shared" si="5"/>
        <v>11.990521327014218</v>
      </c>
      <c r="X124" s="7">
        <v>171</v>
      </c>
      <c r="Y124" s="7">
        <v>155</v>
      </c>
      <c r="Z124" s="7">
        <v>288</v>
      </c>
      <c r="AA124" s="7" t="s">
        <v>40</v>
      </c>
      <c r="AB124" s="11">
        <v>1710</v>
      </c>
      <c r="AC124" s="12">
        <v>1830</v>
      </c>
      <c r="AD124" s="12">
        <v>4424</v>
      </c>
      <c r="AE124" s="12">
        <v>1588</v>
      </c>
      <c r="AF124" s="12">
        <v>2630</v>
      </c>
    </row>
    <row r="125" spans="1:32">
      <c r="A125" s="10" t="s">
        <v>303</v>
      </c>
      <c r="B125" s="10">
        <v>5</v>
      </c>
      <c r="C125" s="10" t="s">
        <v>304</v>
      </c>
      <c r="D125" s="10" t="s">
        <v>282</v>
      </c>
      <c r="E125" s="7" t="str">
        <f t="shared" si="3"/>
        <v>JAECOO 5 EV Max+</v>
      </c>
      <c r="F125" s="10" t="s">
        <v>35</v>
      </c>
      <c r="G125" s="7" t="s">
        <v>35</v>
      </c>
      <c r="H125" s="7" t="s">
        <v>36</v>
      </c>
      <c r="I125" s="11">
        <v>699000</v>
      </c>
      <c r="L125" s="7" t="s">
        <v>305</v>
      </c>
      <c r="M125" s="7" t="s">
        <v>91</v>
      </c>
      <c r="N125" s="7" t="s">
        <v>91</v>
      </c>
      <c r="Q125" s="7">
        <v>50.6</v>
      </c>
      <c r="S125" s="7">
        <v>405</v>
      </c>
      <c r="T125" s="7" t="s">
        <v>306</v>
      </c>
      <c r="U125" s="7" t="s">
        <v>39</v>
      </c>
      <c r="V125" s="7" t="s">
        <v>39</v>
      </c>
      <c r="W125" s="7">
        <f t="shared" si="5"/>
        <v>12.493827160493828</v>
      </c>
      <c r="X125" s="7">
        <v>174</v>
      </c>
      <c r="Y125" s="7">
        <v>155</v>
      </c>
      <c r="Z125" s="7">
        <v>288</v>
      </c>
      <c r="AA125" s="7" t="s">
        <v>40</v>
      </c>
      <c r="AB125" s="11">
        <v>1785</v>
      </c>
      <c r="AC125" s="12">
        <v>1865</v>
      </c>
      <c r="AD125" s="12">
        <v>4380</v>
      </c>
      <c r="AE125" s="12">
        <v>1650</v>
      </c>
      <c r="AF125" s="12">
        <v>2630</v>
      </c>
    </row>
    <row r="126" spans="1:32">
      <c r="A126" s="10" t="s">
        <v>303</v>
      </c>
      <c r="B126" s="10">
        <v>6</v>
      </c>
      <c r="C126" s="10" t="s">
        <v>307</v>
      </c>
      <c r="D126" s="10" t="s">
        <v>308</v>
      </c>
      <c r="E126" s="7" t="str">
        <f t="shared" si="3"/>
        <v>JAECOO 6 EV Long Range 2WD Max</v>
      </c>
      <c r="F126" s="10" t="s">
        <v>35</v>
      </c>
      <c r="G126" s="10" t="s">
        <v>35</v>
      </c>
      <c r="H126" s="7" t="s">
        <v>36</v>
      </c>
      <c r="I126" s="11">
        <v>859000</v>
      </c>
      <c r="L126" s="7" t="s">
        <v>153</v>
      </c>
      <c r="M126" s="7" t="s">
        <v>91</v>
      </c>
      <c r="N126" s="7" t="s">
        <v>91</v>
      </c>
      <c r="Q126" s="7">
        <v>68</v>
      </c>
      <c r="S126" s="7">
        <v>455</v>
      </c>
      <c r="T126" s="7" t="s">
        <v>306</v>
      </c>
      <c r="U126" s="7" t="s">
        <v>39</v>
      </c>
      <c r="V126" s="7" t="s">
        <v>39</v>
      </c>
      <c r="W126" s="7">
        <f t="shared" si="5"/>
        <v>14.945054945054945</v>
      </c>
      <c r="X126" s="7">
        <v>195</v>
      </c>
      <c r="Y126" s="7">
        <v>135</v>
      </c>
      <c r="Z126" s="7">
        <v>220</v>
      </c>
      <c r="AA126" s="7" t="s">
        <v>40</v>
      </c>
      <c r="AB126" s="11">
        <v>1910</v>
      </c>
      <c r="AC126" s="12">
        <v>1910</v>
      </c>
      <c r="AD126" s="12">
        <v>4406</v>
      </c>
      <c r="AE126" s="12">
        <v>1715</v>
      </c>
      <c r="AF126" s="12">
        <v>2715</v>
      </c>
    </row>
    <row r="127" spans="1:32">
      <c r="A127" s="10" t="s">
        <v>303</v>
      </c>
      <c r="B127" s="10">
        <v>6</v>
      </c>
      <c r="C127" s="10">
        <v>6</v>
      </c>
      <c r="D127" s="10" t="s">
        <v>309</v>
      </c>
      <c r="E127" s="7" t="str">
        <f t="shared" si="3"/>
        <v>JAECOO 6 Long Range 4WD</v>
      </c>
      <c r="F127" s="10" t="s">
        <v>35</v>
      </c>
      <c r="G127" s="10" t="s">
        <v>35</v>
      </c>
      <c r="H127" s="7" t="s">
        <v>36</v>
      </c>
      <c r="I127" s="11">
        <v>1249000</v>
      </c>
      <c r="L127" s="7" t="s">
        <v>153</v>
      </c>
      <c r="M127" s="7" t="s">
        <v>91</v>
      </c>
      <c r="N127" s="7" t="s">
        <v>91</v>
      </c>
      <c r="Q127" s="7">
        <v>68</v>
      </c>
      <c r="S127" s="7">
        <v>418</v>
      </c>
      <c r="T127" s="7" t="s">
        <v>306</v>
      </c>
      <c r="U127" s="7" t="s">
        <v>39</v>
      </c>
      <c r="V127" s="7" t="s">
        <v>39</v>
      </c>
      <c r="W127" s="7">
        <f t="shared" si="5"/>
        <v>16.267942583732058</v>
      </c>
      <c r="X127" s="7">
        <v>195</v>
      </c>
      <c r="Y127" s="7">
        <v>205</v>
      </c>
      <c r="Z127" s="7">
        <v>385</v>
      </c>
      <c r="AA127" s="7" t="s">
        <v>40</v>
      </c>
      <c r="AB127" s="11">
        <v>2050</v>
      </c>
      <c r="AC127" s="12">
        <v>1910</v>
      </c>
      <c r="AD127" s="12">
        <v>4406</v>
      </c>
      <c r="AE127" s="12">
        <v>1715</v>
      </c>
      <c r="AF127" s="12">
        <v>2715</v>
      </c>
    </row>
    <row r="128" spans="1:32">
      <c r="A128" s="10" t="s">
        <v>303</v>
      </c>
      <c r="B128" s="10" t="s">
        <v>310</v>
      </c>
      <c r="C128" s="10" t="s">
        <v>311</v>
      </c>
      <c r="D128" s="10" t="s">
        <v>309</v>
      </c>
      <c r="E128" s="7" t="str">
        <f t="shared" si="3"/>
        <v>JAECOO 6T EV Long Range 4WD</v>
      </c>
      <c r="F128" s="10" t="s">
        <v>35</v>
      </c>
      <c r="G128" s="10" t="s">
        <v>35</v>
      </c>
      <c r="H128" s="7" t="s">
        <v>36</v>
      </c>
      <c r="I128" s="11">
        <v>1099000</v>
      </c>
      <c r="L128" s="7" t="s">
        <v>312</v>
      </c>
      <c r="M128" s="7" t="s">
        <v>91</v>
      </c>
      <c r="N128" s="7" t="s">
        <v>91</v>
      </c>
      <c r="Q128" s="7">
        <v>69.77</v>
      </c>
      <c r="S128" s="7">
        <v>436</v>
      </c>
      <c r="T128" s="7" t="s">
        <v>306</v>
      </c>
      <c r="U128" s="7" t="s">
        <v>39</v>
      </c>
      <c r="V128" s="7" t="s">
        <v>39</v>
      </c>
      <c r="W128" s="7">
        <f t="shared" si="5"/>
        <v>16.00229357798165</v>
      </c>
      <c r="X128" s="7">
        <v>225</v>
      </c>
      <c r="Y128" s="7">
        <v>205</v>
      </c>
      <c r="Z128" s="7">
        <v>385</v>
      </c>
      <c r="AA128" s="7" t="s">
        <v>40</v>
      </c>
      <c r="AB128" s="11">
        <v>2050</v>
      </c>
      <c r="AC128" s="12">
        <v>1930</v>
      </c>
      <c r="AD128" s="12">
        <v>4680</v>
      </c>
      <c r="AE128" s="12">
        <v>1710</v>
      </c>
      <c r="AF128" s="12">
        <v>2720</v>
      </c>
    </row>
    <row r="129" spans="1:32">
      <c r="A129" s="7" t="s">
        <v>313</v>
      </c>
      <c r="B129" s="10" t="s">
        <v>314</v>
      </c>
      <c r="C129" s="10" t="s">
        <v>314</v>
      </c>
      <c r="D129" s="10" t="s">
        <v>315</v>
      </c>
      <c r="E129" s="7" t="str">
        <f t="shared" si="3"/>
        <v>CHERY V23 Play 2WD</v>
      </c>
      <c r="F129" s="10" t="s">
        <v>35</v>
      </c>
      <c r="G129" s="10" t="s">
        <v>35</v>
      </c>
      <c r="H129" s="7" t="s">
        <v>36</v>
      </c>
      <c r="I129" s="11">
        <v>699900</v>
      </c>
      <c r="L129" s="7" t="s">
        <v>312</v>
      </c>
      <c r="M129" s="7" t="s">
        <v>91</v>
      </c>
      <c r="N129" s="7" t="s">
        <v>91</v>
      </c>
      <c r="Q129" s="7">
        <v>59.93</v>
      </c>
      <c r="R129" s="7" t="s">
        <v>316</v>
      </c>
      <c r="S129" s="7">
        <v>360</v>
      </c>
      <c r="T129" s="7" t="s">
        <v>306</v>
      </c>
      <c r="U129" s="7" t="s">
        <v>39</v>
      </c>
      <c r="V129" s="7" t="s">
        <v>39</v>
      </c>
      <c r="W129" s="7">
        <f t="shared" si="5"/>
        <v>16.647222222222222</v>
      </c>
      <c r="X129" s="7">
        <v>205</v>
      </c>
      <c r="Y129" s="7">
        <v>100</v>
      </c>
      <c r="Z129" s="7">
        <v>180</v>
      </c>
      <c r="AA129" s="7" t="s">
        <v>40</v>
      </c>
      <c r="AB129" s="11">
        <v>1735</v>
      </c>
      <c r="AC129" s="12">
        <v>1915</v>
      </c>
      <c r="AD129" s="12">
        <v>4220</v>
      </c>
      <c r="AE129" s="12">
        <v>1845</v>
      </c>
      <c r="AF129" s="12">
        <v>2735</v>
      </c>
    </row>
    <row r="130" spans="1:32">
      <c r="A130" s="7" t="s">
        <v>313</v>
      </c>
      <c r="B130" s="10" t="s">
        <v>314</v>
      </c>
      <c r="C130" s="10" t="s">
        <v>314</v>
      </c>
      <c r="D130" s="10" t="s">
        <v>317</v>
      </c>
      <c r="E130" s="7" t="str">
        <f t="shared" si="3"/>
        <v>CHERY V23 Plus 2WD</v>
      </c>
      <c r="F130" s="10" t="s">
        <v>35</v>
      </c>
      <c r="G130" s="10" t="s">
        <v>35</v>
      </c>
      <c r="H130" s="7" t="s">
        <v>36</v>
      </c>
      <c r="I130" s="11">
        <v>759900</v>
      </c>
      <c r="L130" s="7" t="s">
        <v>312</v>
      </c>
      <c r="M130" s="7" t="s">
        <v>91</v>
      </c>
      <c r="N130" s="7" t="s">
        <v>91</v>
      </c>
      <c r="Q130" s="7">
        <v>59.93</v>
      </c>
      <c r="R130" s="7" t="s">
        <v>316</v>
      </c>
      <c r="S130" s="7">
        <v>360</v>
      </c>
      <c r="T130" s="7" t="s">
        <v>306</v>
      </c>
      <c r="U130" s="7" t="s">
        <v>39</v>
      </c>
      <c r="V130" s="7" t="s">
        <v>39</v>
      </c>
      <c r="W130" s="7">
        <f t="shared" si="5"/>
        <v>16.647222222222222</v>
      </c>
      <c r="X130" s="7">
        <v>205</v>
      </c>
      <c r="Y130" s="7">
        <v>100</v>
      </c>
      <c r="Z130" s="7">
        <v>180</v>
      </c>
      <c r="AA130" s="7" t="s">
        <v>40</v>
      </c>
      <c r="AB130" s="11">
        <v>1735</v>
      </c>
      <c r="AC130" s="12">
        <v>1915</v>
      </c>
      <c r="AD130" s="12">
        <v>4220</v>
      </c>
      <c r="AE130" s="12">
        <v>1845</v>
      </c>
      <c r="AF130" s="12">
        <v>2735</v>
      </c>
    </row>
    <row r="131" spans="1:32">
      <c r="A131" s="7" t="s">
        <v>313</v>
      </c>
      <c r="B131" s="10" t="s">
        <v>314</v>
      </c>
      <c r="C131" s="10" t="s">
        <v>314</v>
      </c>
      <c r="D131" s="10" t="s">
        <v>318</v>
      </c>
      <c r="E131" s="7" t="str">
        <f t="shared" ref="E131:E194" si="6">A131&amp;" "&amp;C131&amp;" "&amp;D131</f>
        <v>CHERY V23 Peak 4WD</v>
      </c>
      <c r="F131" s="10" t="s">
        <v>35</v>
      </c>
      <c r="G131" s="10" t="s">
        <v>35</v>
      </c>
      <c r="H131" s="7" t="s">
        <v>36</v>
      </c>
      <c r="I131" s="11">
        <v>889900</v>
      </c>
      <c r="L131" s="7" t="s">
        <v>319</v>
      </c>
      <c r="M131" s="7" t="s">
        <v>91</v>
      </c>
      <c r="N131" s="7" t="s">
        <v>91</v>
      </c>
      <c r="Q131" s="7">
        <v>81.760000000000005</v>
      </c>
      <c r="R131" s="7" t="s">
        <v>320</v>
      </c>
      <c r="S131" s="7">
        <v>430</v>
      </c>
      <c r="T131" s="7" t="s">
        <v>306</v>
      </c>
      <c r="U131" s="7" t="s">
        <v>92</v>
      </c>
      <c r="V131" s="7" t="s">
        <v>92</v>
      </c>
      <c r="W131" s="7">
        <f t="shared" si="5"/>
        <v>19.013953488372092</v>
      </c>
      <c r="X131" s="7">
        <v>210</v>
      </c>
      <c r="Y131" s="7">
        <v>155</v>
      </c>
      <c r="Z131" s="7">
        <v>292</v>
      </c>
      <c r="AA131" s="7" t="s">
        <v>40</v>
      </c>
      <c r="AB131" s="11">
        <v>1960</v>
      </c>
      <c r="AC131" s="12">
        <v>1915</v>
      </c>
      <c r="AD131" s="12">
        <v>4220</v>
      </c>
      <c r="AE131" s="12">
        <v>1845</v>
      </c>
      <c r="AF131" s="12">
        <v>2735</v>
      </c>
    </row>
    <row r="132" spans="1:32">
      <c r="A132" s="7" t="s">
        <v>313</v>
      </c>
      <c r="B132" s="10" t="s">
        <v>321</v>
      </c>
      <c r="C132" s="10" t="s">
        <v>321</v>
      </c>
      <c r="D132" s="10" t="s">
        <v>322</v>
      </c>
      <c r="E132" s="7" t="str">
        <f t="shared" si="6"/>
        <v>CHERY Q Qlick</v>
      </c>
      <c r="F132" s="10" t="s">
        <v>47</v>
      </c>
      <c r="G132" s="10" t="s">
        <v>47</v>
      </c>
      <c r="H132" s="7" t="s">
        <v>36</v>
      </c>
      <c r="I132" s="11">
        <v>469000</v>
      </c>
      <c r="L132" s="7" t="s">
        <v>312</v>
      </c>
      <c r="M132" s="7" t="s">
        <v>91</v>
      </c>
      <c r="N132" s="7" t="s">
        <v>91</v>
      </c>
      <c r="Q132" s="7">
        <v>41.277999999999999</v>
      </c>
      <c r="S132" s="7">
        <v>400</v>
      </c>
      <c r="T132" s="7" t="s">
        <v>306</v>
      </c>
      <c r="U132" s="7" t="s">
        <v>39</v>
      </c>
      <c r="V132" s="7" t="s">
        <v>39</v>
      </c>
      <c r="W132" s="7">
        <f t="shared" si="5"/>
        <v>10.3195</v>
      </c>
      <c r="X132" s="7">
        <v>128</v>
      </c>
      <c r="Y132" s="7">
        <v>115</v>
      </c>
      <c r="Z132" s="7">
        <v>90</v>
      </c>
      <c r="AA132" s="7" t="s">
        <v>40</v>
      </c>
      <c r="AB132" s="11">
        <v>1360</v>
      </c>
      <c r="AC132" s="12">
        <v>1720</v>
      </c>
      <c r="AD132" s="12">
        <v>3560</v>
      </c>
      <c r="AE132" s="12">
        <v>1590</v>
      </c>
      <c r="AF132" s="12">
        <v>2150</v>
      </c>
    </row>
    <row r="133" spans="1:32">
      <c r="A133" s="7" t="s">
        <v>313</v>
      </c>
      <c r="B133" s="10" t="s">
        <v>321</v>
      </c>
      <c r="C133" s="10" t="s">
        <v>321</v>
      </c>
      <c r="D133" s="10" t="s">
        <v>323</v>
      </c>
      <c r="E133" s="7" t="str">
        <f t="shared" si="6"/>
        <v>CHERY Q Qool</v>
      </c>
      <c r="F133" s="10" t="s">
        <v>47</v>
      </c>
      <c r="G133" s="10" t="s">
        <v>47</v>
      </c>
      <c r="H133" s="7" t="s">
        <v>36</v>
      </c>
      <c r="I133" s="11">
        <v>499900</v>
      </c>
      <c r="L133" s="7" t="s">
        <v>312</v>
      </c>
      <c r="M133" s="7" t="s">
        <v>91</v>
      </c>
      <c r="N133" s="7" t="s">
        <v>91</v>
      </c>
      <c r="Q133" s="7">
        <v>41.277999999999999</v>
      </c>
      <c r="S133" s="7">
        <v>400</v>
      </c>
      <c r="T133" s="7" t="s">
        <v>306</v>
      </c>
      <c r="U133" s="7" t="s">
        <v>39</v>
      </c>
      <c r="V133" s="7" t="s">
        <v>39</v>
      </c>
      <c r="W133" s="7">
        <f t="shared" si="5"/>
        <v>10.3195</v>
      </c>
      <c r="X133" s="7">
        <v>128</v>
      </c>
      <c r="Y133" s="7">
        <v>115</v>
      </c>
      <c r="Z133" s="7">
        <v>90</v>
      </c>
      <c r="AA133" s="7" t="s">
        <v>40</v>
      </c>
      <c r="AB133" s="11">
        <v>1360</v>
      </c>
      <c r="AC133" s="12">
        <v>1720</v>
      </c>
      <c r="AD133" s="12">
        <v>3560</v>
      </c>
      <c r="AE133" s="12">
        <v>1590</v>
      </c>
      <c r="AF133" s="12">
        <v>2150</v>
      </c>
    </row>
    <row r="134" spans="1:32">
      <c r="A134" s="7" t="s">
        <v>313</v>
      </c>
      <c r="B134" s="10" t="s">
        <v>321</v>
      </c>
      <c r="C134" s="10" t="s">
        <v>321</v>
      </c>
      <c r="D134" s="10" t="s">
        <v>324</v>
      </c>
      <c r="E134" s="7" t="str">
        <f t="shared" si="6"/>
        <v>CHERY Q Quint</v>
      </c>
      <c r="F134" s="10" t="s">
        <v>47</v>
      </c>
      <c r="G134" s="10" t="s">
        <v>47</v>
      </c>
      <c r="H134" s="7" t="s">
        <v>36</v>
      </c>
      <c r="I134" s="11">
        <v>539900</v>
      </c>
      <c r="L134" s="7" t="s">
        <v>312</v>
      </c>
      <c r="M134" s="7" t="s">
        <v>91</v>
      </c>
      <c r="N134" s="7" t="s">
        <v>91</v>
      </c>
      <c r="Q134" s="7">
        <v>41.277999999999999</v>
      </c>
      <c r="S134" s="7">
        <v>400</v>
      </c>
      <c r="T134" s="7" t="s">
        <v>306</v>
      </c>
      <c r="U134" s="7" t="s">
        <v>39</v>
      </c>
      <c r="V134" s="7" t="s">
        <v>39</v>
      </c>
      <c r="W134" s="7">
        <f t="shared" si="5"/>
        <v>10.3195</v>
      </c>
      <c r="X134" s="7">
        <v>128</v>
      </c>
      <c r="Y134" s="7">
        <v>115</v>
      </c>
      <c r="Z134" s="7">
        <v>90</v>
      </c>
      <c r="AA134" s="7" t="s">
        <v>40</v>
      </c>
      <c r="AB134" s="11">
        <v>1360</v>
      </c>
      <c r="AC134" s="12">
        <v>1720</v>
      </c>
      <c r="AD134" s="12">
        <v>3560</v>
      </c>
      <c r="AE134" s="12">
        <v>1590</v>
      </c>
      <c r="AF134" s="12">
        <v>2150</v>
      </c>
    </row>
    <row r="135" spans="1:32">
      <c r="A135" s="15" t="s">
        <v>325</v>
      </c>
      <c r="B135" s="15" t="s">
        <v>326</v>
      </c>
      <c r="C135" s="15" t="s">
        <v>326</v>
      </c>
      <c r="D135" s="15" t="s">
        <v>46</v>
      </c>
      <c r="E135" s="7" t="str">
        <f t="shared" si="6"/>
        <v>Wuling Air EV Standard Range</v>
      </c>
      <c r="F135" s="10" t="s">
        <v>47</v>
      </c>
      <c r="G135" s="15" t="s">
        <v>327</v>
      </c>
      <c r="H135" s="7" t="s">
        <v>36</v>
      </c>
      <c r="I135" s="19">
        <v>369000</v>
      </c>
      <c r="L135" s="7" t="s">
        <v>328</v>
      </c>
      <c r="M135" s="7" t="s">
        <v>329</v>
      </c>
      <c r="N135" s="7" t="s">
        <v>329</v>
      </c>
      <c r="Q135" s="7">
        <v>17.3</v>
      </c>
      <c r="R135" s="7" t="s">
        <v>330</v>
      </c>
      <c r="S135" s="7">
        <v>200</v>
      </c>
      <c r="T135" s="7" t="s">
        <v>306</v>
      </c>
      <c r="U135" s="7" t="s">
        <v>39</v>
      </c>
      <c r="V135" s="7" t="s">
        <v>39</v>
      </c>
      <c r="W135" s="7">
        <f t="shared" si="5"/>
        <v>8.65</v>
      </c>
      <c r="X135" s="7">
        <v>150</v>
      </c>
      <c r="Y135" s="7">
        <v>30</v>
      </c>
      <c r="Z135" s="7">
        <v>110</v>
      </c>
      <c r="AA135" s="7" t="s">
        <v>40</v>
      </c>
      <c r="AB135" s="7">
        <v>800</v>
      </c>
      <c r="AC135" s="12">
        <v>1505</v>
      </c>
      <c r="AD135" s="12">
        <v>2974</v>
      </c>
      <c r="AE135" s="12">
        <v>1631</v>
      </c>
      <c r="AF135" s="12">
        <v>2010</v>
      </c>
    </row>
    <row r="136" spans="1:32">
      <c r="A136" s="15" t="s">
        <v>325</v>
      </c>
      <c r="B136" s="15" t="s">
        <v>326</v>
      </c>
      <c r="C136" s="15" t="s">
        <v>326</v>
      </c>
      <c r="D136" s="15" t="s">
        <v>177</v>
      </c>
      <c r="E136" s="7" t="str">
        <f t="shared" si="6"/>
        <v>Wuling Air EV Long Range</v>
      </c>
      <c r="F136" s="10" t="s">
        <v>47</v>
      </c>
      <c r="G136" s="15" t="s">
        <v>327</v>
      </c>
      <c r="H136" s="7" t="s">
        <v>36</v>
      </c>
      <c r="I136" s="19">
        <v>339000</v>
      </c>
      <c r="L136" s="7" t="s">
        <v>165</v>
      </c>
      <c r="M136" s="7" t="s">
        <v>329</v>
      </c>
      <c r="N136" s="7" t="s">
        <v>329</v>
      </c>
      <c r="Q136" s="7">
        <v>26.5</v>
      </c>
      <c r="R136" s="7" t="s">
        <v>330</v>
      </c>
      <c r="S136" s="7">
        <v>300</v>
      </c>
      <c r="T136" s="7" t="s">
        <v>306</v>
      </c>
      <c r="U136" s="7" t="s">
        <v>39</v>
      </c>
      <c r="V136" s="7" t="s">
        <v>39</v>
      </c>
      <c r="W136" s="7">
        <f t="shared" si="5"/>
        <v>8.8333333333333339</v>
      </c>
      <c r="X136" s="7">
        <v>150</v>
      </c>
      <c r="Y136" s="7">
        <v>30</v>
      </c>
      <c r="Z136" s="7">
        <v>110</v>
      </c>
      <c r="AA136" s="7" t="s">
        <v>40</v>
      </c>
      <c r="AB136" s="7">
        <v>880</v>
      </c>
      <c r="AC136" s="12">
        <v>1505</v>
      </c>
      <c r="AD136" s="12">
        <v>2974</v>
      </c>
      <c r="AE136" s="12">
        <v>1631</v>
      </c>
      <c r="AF136" s="12">
        <v>2010</v>
      </c>
    </row>
    <row r="137" spans="1:32">
      <c r="A137" s="15" t="s">
        <v>325</v>
      </c>
      <c r="B137" s="15" t="s">
        <v>331</v>
      </c>
      <c r="C137" s="15" t="s">
        <v>331</v>
      </c>
      <c r="D137" s="15" t="s">
        <v>211</v>
      </c>
      <c r="E137" s="7" t="str">
        <f t="shared" si="6"/>
        <v>Wuling Binguo EV Lite</v>
      </c>
      <c r="F137" s="10" t="s">
        <v>47</v>
      </c>
      <c r="G137" s="15" t="s">
        <v>47</v>
      </c>
      <c r="H137" s="7" t="s">
        <v>36</v>
      </c>
      <c r="I137" s="19">
        <v>399000</v>
      </c>
      <c r="L137" s="7" t="s">
        <v>332</v>
      </c>
      <c r="M137" s="7" t="s">
        <v>333</v>
      </c>
      <c r="N137" s="7" t="s">
        <v>333</v>
      </c>
      <c r="Q137" s="7">
        <v>31.9</v>
      </c>
      <c r="R137" s="7" t="s">
        <v>330</v>
      </c>
      <c r="S137" s="7">
        <v>333</v>
      </c>
      <c r="T137" s="7" t="s">
        <v>306</v>
      </c>
      <c r="U137" s="7" t="s">
        <v>39</v>
      </c>
      <c r="V137" s="7" t="s">
        <v>39</v>
      </c>
      <c r="W137" s="7">
        <f t="shared" si="5"/>
        <v>9.5795795795795797</v>
      </c>
      <c r="X137" s="7">
        <v>115</v>
      </c>
      <c r="Y137" s="7">
        <v>50</v>
      </c>
      <c r="Z137" s="7">
        <v>125</v>
      </c>
      <c r="AA137" s="7" t="s">
        <v>40</v>
      </c>
      <c r="AB137" s="7">
        <v>1125</v>
      </c>
      <c r="AC137" s="12">
        <v>1522</v>
      </c>
      <c r="AD137" s="12">
        <v>3950</v>
      </c>
      <c r="AE137" s="12">
        <v>1580</v>
      </c>
      <c r="AF137" s="12">
        <v>2560</v>
      </c>
    </row>
    <row r="138" spans="1:32">
      <c r="A138" s="15" t="s">
        <v>325</v>
      </c>
      <c r="B138" s="15" t="s">
        <v>331</v>
      </c>
      <c r="C138" s="15" t="s">
        <v>331</v>
      </c>
      <c r="D138" s="15" t="s">
        <v>181</v>
      </c>
      <c r="E138" s="7" t="str">
        <f t="shared" si="6"/>
        <v>Wuling Binguo EV Pro</v>
      </c>
      <c r="F138" s="10" t="s">
        <v>47</v>
      </c>
      <c r="G138" s="15" t="s">
        <v>47</v>
      </c>
      <c r="H138" s="7" t="s">
        <v>36</v>
      </c>
      <c r="I138" s="19">
        <v>429000</v>
      </c>
      <c r="L138" s="7" t="s">
        <v>332</v>
      </c>
      <c r="M138" s="7" t="s">
        <v>333</v>
      </c>
      <c r="N138" s="7" t="s">
        <v>333</v>
      </c>
      <c r="Q138" s="7">
        <v>31.9</v>
      </c>
      <c r="R138" s="7" t="s">
        <v>330</v>
      </c>
      <c r="S138" s="7">
        <v>333</v>
      </c>
      <c r="T138" s="7" t="s">
        <v>306</v>
      </c>
      <c r="U138" s="7" t="s">
        <v>39</v>
      </c>
      <c r="V138" s="7" t="s">
        <v>39</v>
      </c>
      <c r="W138" s="7">
        <f t="shared" si="5"/>
        <v>9.5795795795795797</v>
      </c>
      <c r="X138" s="7">
        <v>115</v>
      </c>
      <c r="Y138" s="7">
        <v>50</v>
      </c>
      <c r="Z138" s="7">
        <v>125</v>
      </c>
      <c r="AA138" s="7" t="s">
        <v>40</v>
      </c>
      <c r="AB138" s="7">
        <v>1125</v>
      </c>
      <c r="AC138" s="12">
        <v>1522</v>
      </c>
      <c r="AD138" s="12">
        <v>3950</v>
      </c>
      <c r="AE138" s="12">
        <v>1580</v>
      </c>
      <c r="AF138" s="12">
        <v>2560</v>
      </c>
    </row>
    <row r="139" spans="1:32">
      <c r="A139" s="15" t="s">
        <v>325</v>
      </c>
      <c r="B139" s="15" t="s">
        <v>334</v>
      </c>
      <c r="C139" s="15" t="s">
        <v>334</v>
      </c>
      <c r="D139" s="15" t="s">
        <v>192</v>
      </c>
      <c r="E139" s="7" t="str">
        <f t="shared" si="6"/>
        <v>Wuling Darion EV Comfort</v>
      </c>
      <c r="F139" s="10" t="s">
        <v>60</v>
      </c>
      <c r="G139" s="7" t="s">
        <v>335</v>
      </c>
      <c r="H139" s="7" t="s">
        <v>36</v>
      </c>
      <c r="I139" s="11">
        <v>839000</v>
      </c>
      <c r="L139" s="7" t="s">
        <v>279</v>
      </c>
      <c r="M139" s="7" t="s">
        <v>333</v>
      </c>
      <c r="N139" s="7" t="s">
        <v>333</v>
      </c>
      <c r="Q139" s="7">
        <v>69.2</v>
      </c>
      <c r="R139" s="7" t="s">
        <v>330</v>
      </c>
      <c r="S139" s="7">
        <v>540</v>
      </c>
      <c r="T139" s="7" t="s">
        <v>306</v>
      </c>
      <c r="U139" s="7" t="s">
        <v>39</v>
      </c>
      <c r="V139" s="7" t="s">
        <v>39</v>
      </c>
      <c r="W139" s="7">
        <f t="shared" si="5"/>
        <v>12.814814814814815</v>
      </c>
      <c r="X139" s="7">
        <v>160</v>
      </c>
      <c r="Y139" s="7">
        <v>150</v>
      </c>
      <c r="Z139" s="7">
        <v>310</v>
      </c>
      <c r="AA139" s="7" t="s">
        <v>40</v>
      </c>
      <c r="AB139" s="7">
        <v>2090</v>
      </c>
      <c r="AC139" s="12">
        <v>1760</v>
      </c>
      <c r="AD139" s="12">
        <v>4595</v>
      </c>
      <c r="AE139" s="12">
        <v>1720</v>
      </c>
      <c r="AF139" s="12">
        <v>2710</v>
      </c>
    </row>
    <row r="140" spans="1:32">
      <c r="A140" s="15" t="s">
        <v>325</v>
      </c>
      <c r="B140" s="15" t="s">
        <v>334</v>
      </c>
      <c r="C140" s="15" t="s">
        <v>334</v>
      </c>
      <c r="D140" s="15" t="s">
        <v>72</v>
      </c>
      <c r="E140" s="7" t="str">
        <f t="shared" si="6"/>
        <v>Wuling Darion EV Premium</v>
      </c>
      <c r="F140" s="10" t="s">
        <v>60</v>
      </c>
      <c r="G140" s="7" t="s">
        <v>335</v>
      </c>
      <c r="H140" s="7" t="s">
        <v>36</v>
      </c>
      <c r="I140" s="11">
        <v>899000</v>
      </c>
      <c r="L140" s="7" t="s">
        <v>279</v>
      </c>
      <c r="M140" s="7" t="s">
        <v>333</v>
      </c>
      <c r="N140" s="7" t="s">
        <v>333</v>
      </c>
      <c r="Q140" s="7">
        <v>69.2</v>
      </c>
      <c r="R140" s="7" t="s">
        <v>330</v>
      </c>
      <c r="S140" s="7">
        <v>540</v>
      </c>
      <c r="T140" s="7" t="s">
        <v>306</v>
      </c>
      <c r="U140" s="7" t="s">
        <v>39</v>
      </c>
      <c r="V140" s="7" t="s">
        <v>39</v>
      </c>
      <c r="W140" s="7">
        <f t="shared" si="5"/>
        <v>12.814814814814815</v>
      </c>
      <c r="X140" s="7">
        <v>160</v>
      </c>
      <c r="Y140" s="7">
        <v>150</v>
      </c>
      <c r="Z140" s="7">
        <v>310</v>
      </c>
      <c r="AA140" s="7" t="s">
        <v>40</v>
      </c>
      <c r="AB140" s="7">
        <v>2090</v>
      </c>
      <c r="AC140" s="12">
        <v>1760</v>
      </c>
      <c r="AD140" s="12">
        <v>4595</v>
      </c>
      <c r="AE140" s="12">
        <v>1720</v>
      </c>
      <c r="AF140" s="12">
        <v>2710</v>
      </c>
    </row>
    <row r="141" spans="1:32">
      <c r="A141" s="15" t="s">
        <v>325</v>
      </c>
      <c r="B141" s="15" t="s">
        <v>336</v>
      </c>
      <c r="C141" s="15" t="s">
        <v>336</v>
      </c>
      <c r="D141" s="15" t="s">
        <v>337</v>
      </c>
      <c r="E141" s="7" t="str">
        <f t="shared" si="6"/>
        <v>Wuling Porta EV Premium Rang</v>
      </c>
      <c r="F141" s="7" t="s">
        <v>338</v>
      </c>
      <c r="G141" s="7" t="s">
        <v>339</v>
      </c>
      <c r="H141" s="7" t="s">
        <v>36</v>
      </c>
      <c r="I141" s="11">
        <v>599000</v>
      </c>
      <c r="L141" s="7" t="s">
        <v>165</v>
      </c>
      <c r="M141" s="7" t="s">
        <v>333</v>
      </c>
      <c r="N141" s="7" t="s">
        <v>333</v>
      </c>
      <c r="Q141" s="7">
        <v>56.21</v>
      </c>
      <c r="R141" s="7" t="s">
        <v>330</v>
      </c>
      <c r="S141" s="7">
        <v>400</v>
      </c>
      <c r="T141" s="7" t="s">
        <v>306</v>
      </c>
      <c r="U141" s="7" t="s">
        <v>39</v>
      </c>
      <c r="V141" s="7" t="s">
        <v>39</v>
      </c>
      <c r="W141" s="7">
        <f t="shared" si="5"/>
        <v>14.052500000000002</v>
      </c>
      <c r="X141" s="7">
        <v>160</v>
      </c>
      <c r="Y141" s="7">
        <v>75</v>
      </c>
      <c r="Z141" s="7">
        <v>180</v>
      </c>
      <c r="AA141" s="7" t="s">
        <v>40</v>
      </c>
      <c r="AB141" s="11">
        <v>2770</v>
      </c>
      <c r="AC141" s="12">
        <v>1760</v>
      </c>
      <c r="AD141" s="12">
        <v>4595</v>
      </c>
      <c r="AE141" s="12">
        <v>1720</v>
      </c>
      <c r="AF141" s="12">
        <v>2710</v>
      </c>
    </row>
    <row r="142" spans="1:32">
      <c r="A142" s="7" t="s">
        <v>340</v>
      </c>
      <c r="B142" s="7" t="s">
        <v>341</v>
      </c>
      <c r="C142" s="7" t="s">
        <v>341</v>
      </c>
      <c r="D142" s="7" t="s">
        <v>342</v>
      </c>
      <c r="E142" s="7" t="str">
        <f t="shared" si="6"/>
        <v>FORTHING Friday EV Luxury</v>
      </c>
      <c r="F142" s="10" t="s">
        <v>35</v>
      </c>
      <c r="G142" s="7" t="s">
        <v>35</v>
      </c>
      <c r="H142" s="7" t="s">
        <v>36</v>
      </c>
      <c r="I142" s="11">
        <v>899900</v>
      </c>
      <c r="L142" s="7" t="s">
        <v>153</v>
      </c>
      <c r="M142" s="7" t="s">
        <v>91</v>
      </c>
      <c r="N142" s="7" t="s">
        <v>91</v>
      </c>
      <c r="Q142" s="7">
        <v>64.400000000000006</v>
      </c>
      <c r="R142" s="7">
        <v>430</v>
      </c>
      <c r="S142" s="7">
        <v>630</v>
      </c>
      <c r="T142" s="7" t="s">
        <v>38</v>
      </c>
      <c r="U142" s="7" t="s">
        <v>39</v>
      </c>
      <c r="V142" s="7" t="s">
        <v>39</v>
      </c>
      <c r="W142" s="7">
        <f t="shared" si="5"/>
        <v>10.222222222222223</v>
      </c>
      <c r="X142" s="7">
        <v>180</v>
      </c>
      <c r="Y142" s="7">
        <v>150</v>
      </c>
      <c r="Z142" s="7">
        <v>340</v>
      </c>
      <c r="AA142" s="7" t="s">
        <v>40</v>
      </c>
      <c r="AB142" s="11">
        <v>1900</v>
      </c>
      <c r="AC142" s="12">
        <v>1865</v>
      </c>
      <c r="AD142" s="12">
        <v>4600</v>
      </c>
      <c r="AE142" s="12">
        <v>1680</v>
      </c>
      <c r="AF142" s="12">
        <v>2715</v>
      </c>
    </row>
    <row r="143" spans="1:32">
      <c r="A143" s="7" t="s">
        <v>340</v>
      </c>
      <c r="B143" s="7" t="s">
        <v>341</v>
      </c>
      <c r="C143" s="7" t="s">
        <v>341</v>
      </c>
      <c r="D143" s="7" t="s">
        <v>343</v>
      </c>
      <c r="E143" s="7" t="str">
        <f t="shared" si="6"/>
        <v>FORTHING Friday EV Exclusive</v>
      </c>
      <c r="F143" s="10" t="s">
        <v>35</v>
      </c>
      <c r="G143" s="7" t="s">
        <v>35</v>
      </c>
      <c r="H143" s="7" t="s">
        <v>36</v>
      </c>
      <c r="I143" s="11">
        <v>949900</v>
      </c>
      <c r="L143" s="7" t="s">
        <v>153</v>
      </c>
      <c r="M143" s="7" t="s">
        <v>91</v>
      </c>
      <c r="N143" s="7" t="s">
        <v>91</v>
      </c>
      <c r="Q143" s="7">
        <v>64.400000000000006</v>
      </c>
      <c r="R143" s="7">
        <v>430</v>
      </c>
      <c r="S143" s="7">
        <v>630</v>
      </c>
      <c r="T143" s="7" t="s">
        <v>38</v>
      </c>
      <c r="U143" s="7" t="s">
        <v>39</v>
      </c>
      <c r="V143" s="7" t="s">
        <v>39</v>
      </c>
      <c r="W143" s="7">
        <f t="shared" si="5"/>
        <v>10.222222222222223</v>
      </c>
      <c r="X143" s="7">
        <v>180</v>
      </c>
      <c r="Y143" s="7">
        <v>150</v>
      </c>
      <c r="Z143" s="7">
        <v>340</v>
      </c>
      <c r="AA143" s="7" t="s">
        <v>40</v>
      </c>
      <c r="AB143" s="11">
        <v>1900</v>
      </c>
      <c r="AC143" s="12">
        <v>1865</v>
      </c>
      <c r="AD143" s="12">
        <v>4600</v>
      </c>
      <c r="AE143" s="12">
        <v>1680</v>
      </c>
      <c r="AF143" s="12">
        <v>2715</v>
      </c>
    </row>
    <row r="144" spans="1:32">
      <c r="A144" s="7" t="s">
        <v>344</v>
      </c>
      <c r="B144" s="7" t="s">
        <v>345</v>
      </c>
      <c r="C144" s="7" t="s">
        <v>345</v>
      </c>
      <c r="D144" s="7" t="s">
        <v>346</v>
      </c>
      <c r="E144" s="7" t="str">
        <f t="shared" si="6"/>
        <v>Farizon EV Cargo C5M</v>
      </c>
      <c r="F144" s="7" t="s">
        <v>338</v>
      </c>
      <c r="G144" s="7" t="s">
        <v>339</v>
      </c>
      <c r="H144" s="7" t="s">
        <v>36</v>
      </c>
      <c r="I144" s="7" t="s">
        <v>347</v>
      </c>
      <c r="L144" s="7" t="s">
        <v>291</v>
      </c>
      <c r="M144" s="7" t="s">
        <v>91</v>
      </c>
      <c r="N144" s="7" t="s">
        <v>91</v>
      </c>
      <c r="O144" s="8" t="s">
        <v>291</v>
      </c>
      <c r="P144" s="8" t="s">
        <v>91</v>
      </c>
      <c r="Q144" s="7">
        <v>82.88</v>
      </c>
      <c r="S144" s="7">
        <v>372</v>
      </c>
      <c r="T144" s="7" t="s">
        <v>38</v>
      </c>
      <c r="U144" s="7" t="s">
        <v>39</v>
      </c>
      <c r="V144" s="7" t="s">
        <v>39</v>
      </c>
      <c r="W144" s="7">
        <f t="shared" si="5"/>
        <v>22.279569892473116</v>
      </c>
      <c r="X144" s="7">
        <v>170</v>
      </c>
      <c r="Y144" s="7">
        <v>170</v>
      </c>
      <c r="Z144" s="7">
        <v>336</v>
      </c>
      <c r="AA144" s="7" t="s">
        <v>40</v>
      </c>
      <c r="AB144" s="7">
        <v>3600</v>
      </c>
      <c r="AC144" s="12">
        <v>1700</v>
      </c>
      <c r="AD144" s="12">
        <v>4495</v>
      </c>
      <c r="AE144" s="12">
        <v>1985</v>
      </c>
      <c r="AF144" s="12">
        <v>3050</v>
      </c>
    </row>
    <row r="145" spans="1:32">
      <c r="A145" s="7" t="s">
        <v>344</v>
      </c>
      <c r="B145" s="7" t="s">
        <v>345</v>
      </c>
      <c r="C145" s="7" t="s">
        <v>345</v>
      </c>
      <c r="D145" s="7" t="s">
        <v>348</v>
      </c>
      <c r="E145" s="7" t="str">
        <f t="shared" si="6"/>
        <v>Farizon EV Cargo C6M</v>
      </c>
      <c r="F145" s="7" t="s">
        <v>338</v>
      </c>
      <c r="G145" s="7" t="s">
        <v>339</v>
      </c>
      <c r="H145" s="7" t="s">
        <v>36</v>
      </c>
      <c r="I145" s="7" t="s">
        <v>347</v>
      </c>
      <c r="L145" s="7" t="s">
        <v>291</v>
      </c>
      <c r="M145" s="7" t="s">
        <v>91</v>
      </c>
      <c r="N145" s="7" t="s">
        <v>91</v>
      </c>
      <c r="O145" s="8" t="s">
        <v>291</v>
      </c>
      <c r="P145" s="8" t="s">
        <v>91</v>
      </c>
      <c r="Q145" s="7">
        <v>82.88</v>
      </c>
      <c r="S145" s="7">
        <v>372</v>
      </c>
      <c r="T145" s="7" t="s">
        <v>38</v>
      </c>
      <c r="U145" s="7" t="s">
        <v>39</v>
      </c>
      <c r="V145" s="7" t="s">
        <v>39</v>
      </c>
      <c r="W145" s="7">
        <f t="shared" si="5"/>
        <v>22.279569892473116</v>
      </c>
      <c r="X145" s="7">
        <v>170</v>
      </c>
      <c r="Y145" s="7">
        <v>170</v>
      </c>
      <c r="Z145" s="7">
        <v>336</v>
      </c>
      <c r="AA145" s="7" t="s">
        <v>40</v>
      </c>
      <c r="AB145" s="7">
        <v>3600</v>
      </c>
      <c r="AC145" s="12">
        <v>1750</v>
      </c>
      <c r="AD145" s="12">
        <v>4995</v>
      </c>
      <c r="AE145" s="12">
        <v>2050</v>
      </c>
      <c r="AF145" s="12">
        <v>3100</v>
      </c>
    </row>
    <row r="146" spans="1:32">
      <c r="A146" s="7" t="s">
        <v>344</v>
      </c>
      <c r="B146" s="7" t="s">
        <v>345</v>
      </c>
      <c r="C146" s="7" t="s">
        <v>345</v>
      </c>
      <c r="D146" s="7" t="s">
        <v>349</v>
      </c>
      <c r="E146" s="7" t="str">
        <f t="shared" si="6"/>
        <v>Farizon EV Cargo C6H</v>
      </c>
      <c r="F146" s="7" t="s">
        <v>338</v>
      </c>
      <c r="G146" s="7" t="s">
        <v>350</v>
      </c>
      <c r="H146" s="7" t="s">
        <v>36</v>
      </c>
      <c r="I146" s="7" t="s">
        <v>347</v>
      </c>
      <c r="L146" s="7" t="s">
        <v>291</v>
      </c>
      <c r="M146" s="7" t="s">
        <v>91</v>
      </c>
      <c r="N146" s="7" t="s">
        <v>91</v>
      </c>
      <c r="O146" s="8" t="s">
        <v>291</v>
      </c>
      <c r="P146" s="8" t="s">
        <v>91</v>
      </c>
      <c r="Q146" s="7">
        <v>82.88</v>
      </c>
      <c r="S146" s="7">
        <v>372</v>
      </c>
      <c r="T146" s="7" t="s">
        <v>38</v>
      </c>
      <c r="U146" s="7" t="s">
        <v>39</v>
      </c>
      <c r="V146" s="7" t="s">
        <v>39</v>
      </c>
      <c r="W146" s="7">
        <f t="shared" si="5"/>
        <v>22.279569892473116</v>
      </c>
      <c r="X146" s="7">
        <v>170</v>
      </c>
      <c r="Y146" s="7">
        <v>170</v>
      </c>
      <c r="Z146" s="7">
        <v>336</v>
      </c>
      <c r="AA146" s="7" t="s">
        <v>40</v>
      </c>
      <c r="AB146" s="7">
        <v>3600</v>
      </c>
      <c r="AC146" s="12">
        <v>1750</v>
      </c>
      <c r="AD146" s="12">
        <v>5495</v>
      </c>
      <c r="AE146" s="12">
        <v>2200</v>
      </c>
      <c r="AF146" s="12">
        <v>3360</v>
      </c>
    </row>
    <row r="147" spans="1:32">
      <c r="A147" s="7" t="s">
        <v>344</v>
      </c>
      <c r="B147" s="7" t="s">
        <v>351</v>
      </c>
      <c r="C147" s="7" t="s">
        <v>351</v>
      </c>
      <c r="D147" s="7" t="s">
        <v>352</v>
      </c>
      <c r="E147" s="7" t="str">
        <f t="shared" si="6"/>
        <v>Farizon EV Passenger P5M</v>
      </c>
      <c r="F147" s="7" t="s">
        <v>338</v>
      </c>
      <c r="G147" s="7" t="s">
        <v>353</v>
      </c>
      <c r="H147" s="7" t="s">
        <v>36</v>
      </c>
      <c r="I147" s="7" t="s">
        <v>347</v>
      </c>
      <c r="L147" s="7" t="s">
        <v>291</v>
      </c>
      <c r="M147" s="7" t="s">
        <v>91</v>
      </c>
      <c r="N147" s="7" t="s">
        <v>91</v>
      </c>
      <c r="O147" s="8" t="s">
        <v>291</v>
      </c>
      <c r="P147" s="8" t="s">
        <v>91</v>
      </c>
      <c r="Q147" s="7">
        <v>82.88</v>
      </c>
      <c r="S147" s="7">
        <v>372</v>
      </c>
      <c r="T147" s="7" t="s">
        <v>38</v>
      </c>
      <c r="U147" s="7" t="s">
        <v>39</v>
      </c>
      <c r="V147" s="7" t="s">
        <v>39</v>
      </c>
      <c r="W147" s="7">
        <f t="shared" si="5"/>
        <v>22.279569892473116</v>
      </c>
      <c r="X147" s="7">
        <v>170</v>
      </c>
      <c r="Y147" s="7">
        <v>170</v>
      </c>
      <c r="Z147" s="7">
        <v>336</v>
      </c>
      <c r="AA147" s="7" t="s">
        <v>40</v>
      </c>
      <c r="AB147" s="7">
        <v>3500</v>
      </c>
      <c r="AC147" s="12">
        <v>1700</v>
      </c>
      <c r="AD147" s="12">
        <v>4495</v>
      </c>
      <c r="AE147" s="12">
        <v>1985</v>
      </c>
      <c r="AF147" s="12">
        <v>3050</v>
      </c>
    </row>
    <row r="148" spans="1:32">
      <c r="A148" s="7" t="s">
        <v>344</v>
      </c>
      <c r="B148" s="7" t="s">
        <v>351</v>
      </c>
      <c r="C148" s="7" t="s">
        <v>351</v>
      </c>
      <c r="D148" s="7" t="s">
        <v>354</v>
      </c>
      <c r="E148" s="7" t="str">
        <f t="shared" si="6"/>
        <v>Farizon EV Passenger P6M</v>
      </c>
      <c r="F148" s="7" t="s">
        <v>338</v>
      </c>
      <c r="G148" s="7" t="s">
        <v>353</v>
      </c>
      <c r="H148" s="7" t="s">
        <v>36</v>
      </c>
      <c r="I148" s="7" t="s">
        <v>347</v>
      </c>
      <c r="L148" s="7" t="s">
        <v>291</v>
      </c>
      <c r="M148" s="7" t="s">
        <v>91</v>
      </c>
      <c r="N148" s="7" t="s">
        <v>91</v>
      </c>
      <c r="O148" s="8" t="s">
        <v>291</v>
      </c>
      <c r="P148" s="8" t="s">
        <v>91</v>
      </c>
      <c r="Q148" s="7">
        <v>82.88</v>
      </c>
      <c r="S148" s="7">
        <v>372</v>
      </c>
      <c r="T148" s="7" t="s">
        <v>38</v>
      </c>
      <c r="U148" s="7" t="s">
        <v>39</v>
      </c>
      <c r="V148" s="7" t="s">
        <v>39</v>
      </c>
      <c r="W148" s="7">
        <f t="shared" si="5"/>
        <v>22.279569892473116</v>
      </c>
      <c r="X148" s="7">
        <v>170</v>
      </c>
      <c r="Y148" s="7">
        <v>170</v>
      </c>
      <c r="Z148" s="7">
        <v>336</v>
      </c>
      <c r="AA148" s="7" t="s">
        <v>40</v>
      </c>
      <c r="AB148" s="7">
        <v>3500</v>
      </c>
      <c r="AC148" s="12">
        <v>1750</v>
      </c>
      <c r="AD148" s="12">
        <v>4995</v>
      </c>
      <c r="AE148" s="12">
        <v>2050</v>
      </c>
      <c r="AF148" s="12">
        <v>3100</v>
      </c>
    </row>
    <row r="149" spans="1:32">
      <c r="A149" s="7" t="s">
        <v>344</v>
      </c>
      <c r="B149" s="7" t="s">
        <v>351</v>
      </c>
      <c r="C149" s="7" t="s">
        <v>351</v>
      </c>
      <c r="D149" s="7" t="s">
        <v>355</v>
      </c>
      <c r="E149" s="7" t="str">
        <f t="shared" si="6"/>
        <v>Farizon EV Passenger P6H</v>
      </c>
      <c r="F149" s="7" t="s">
        <v>338</v>
      </c>
      <c r="G149" s="7" t="s">
        <v>356</v>
      </c>
      <c r="H149" s="7" t="s">
        <v>36</v>
      </c>
      <c r="I149" s="7" t="s">
        <v>347</v>
      </c>
      <c r="L149" s="7" t="s">
        <v>291</v>
      </c>
      <c r="M149" s="7" t="s">
        <v>91</v>
      </c>
      <c r="N149" s="7" t="s">
        <v>91</v>
      </c>
      <c r="O149" s="8" t="s">
        <v>291</v>
      </c>
      <c r="P149" s="8" t="s">
        <v>91</v>
      </c>
      <c r="Q149" s="7">
        <v>82.88</v>
      </c>
      <c r="S149" s="7">
        <v>372</v>
      </c>
      <c r="T149" s="7" t="s">
        <v>38</v>
      </c>
      <c r="U149" s="7" t="s">
        <v>39</v>
      </c>
      <c r="V149" s="7" t="s">
        <v>39</v>
      </c>
      <c r="W149" s="7">
        <f t="shared" si="5"/>
        <v>22.279569892473116</v>
      </c>
      <c r="X149" s="7">
        <v>170</v>
      </c>
      <c r="Y149" s="7">
        <v>170</v>
      </c>
      <c r="Z149" s="7">
        <v>336</v>
      </c>
      <c r="AA149" s="7" t="s">
        <v>40</v>
      </c>
      <c r="AB149" s="7">
        <v>3500</v>
      </c>
      <c r="AC149" s="12">
        <v>1750</v>
      </c>
      <c r="AD149" s="12">
        <v>5495</v>
      </c>
      <c r="AE149" s="12">
        <v>2200</v>
      </c>
      <c r="AF149" s="12">
        <v>3360</v>
      </c>
    </row>
    <row r="150" spans="1:32">
      <c r="A150" s="7" t="s">
        <v>344</v>
      </c>
      <c r="B150" s="7" t="s">
        <v>357</v>
      </c>
      <c r="C150" s="7" t="s">
        <v>357</v>
      </c>
      <c r="D150" s="7" t="s">
        <v>88</v>
      </c>
      <c r="E150" s="7" t="str">
        <f t="shared" si="6"/>
        <v>Farizon EV MPV Standard</v>
      </c>
      <c r="F150" s="10" t="s">
        <v>60</v>
      </c>
      <c r="G150" s="7" t="s">
        <v>60</v>
      </c>
      <c r="H150" s="7" t="s">
        <v>36</v>
      </c>
      <c r="I150" s="11">
        <v>1299000</v>
      </c>
      <c r="L150" s="7" t="s">
        <v>291</v>
      </c>
      <c r="M150" s="7" t="s">
        <v>91</v>
      </c>
      <c r="N150" s="7" t="s">
        <v>91</v>
      </c>
      <c r="O150" s="8" t="s">
        <v>291</v>
      </c>
      <c r="P150" s="8" t="s">
        <v>91</v>
      </c>
      <c r="Q150" s="7">
        <v>82.88</v>
      </c>
      <c r="S150" s="7">
        <v>372</v>
      </c>
      <c r="T150" s="7" t="s">
        <v>38</v>
      </c>
      <c r="U150" s="7" t="s">
        <v>39</v>
      </c>
      <c r="V150" s="7" t="s">
        <v>39</v>
      </c>
      <c r="W150" s="7">
        <f t="shared" si="5"/>
        <v>22.279569892473116</v>
      </c>
      <c r="X150" s="7">
        <v>170</v>
      </c>
      <c r="Y150" s="7">
        <v>170</v>
      </c>
      <c r="Z150" s="7">
        <v>336</v>
      </c>
      <c r="AA150" s="7" t="s">
        <v>40</v>
      </c>
      <c r="AB150" s="7">
        <v>2870</v>
      </c>
      <c r="AC150" s="12">
        <v>1850</v>
      </c>
      <c r="AD150" s="12">
        <v>5250</v>
      </c>
      <c r="AE150" s="12">
        <v>1920</v>
      </c>
      <c r="AF150" s="12">
        <v>3200</v>
      </c>
    </row>
    <row r="151" spans="1:32">
      <c r="A151" s="7" t="s">
        <v>344</v>
      </c>
      <c r="B151" s="7" t="s">
        <v>357</v>
      </c>
      <c r="C151" s="7" t="s">
        <v>357</v>
      </c>
      <c r="D151" s="7" t="s">
        <v>358</v>
      </c>
      <c r="E151" s="7" t="str">
        <f t="shared" si="6"/>
        <v>Farizon EV MPV Luxury</v>
      </c>
      <c r="F151" s="10" t="s">
        <v>60</v>
      </c>
      <c r="G151" s="7" t="s">
        <v>60</v>
      </c>
      <c r="H151" s="7" t="s">
        <v>36</v>
      </c>
      <c r="I151" s="11">
        <v>1650000</v>
      </c>
      <c r="L151" s="7" t="s">
        <v>291</v>
      </c>
      <c r="M151" s="7" t="s">
        <v>91</v>
      </c>
      <c r="N151" s="7" t="s">
        <v>91</v>
      </c>
      <c r="O151" s="8" t="s">
        <v>291</v>
      </c>
      <c r="P151" s="8" t="s">
        <v>91</v>
      </c>
      <c r="Q151" s="7">
        <v>82.88</v>
      </c>
      <c r="S151" s="7">
        <v>450</v>
      </c>
      <c r="T151" s="7" t="s">
        <v>38</v>
      </c>
      <c r="U151" s="7" t="s">
        <v>39</v>
      </c>
      <c r="V151" s="7" t="s">
        <v>39</v>
      </c>
      <c r="W151" s="7">
        <f t="shared" si="5"/>
        <v>18.417777777777779</v>
      </c>
      <c r="X151" s="7">
        <v>170</v>
      </c>
      <c r="Y151" s="7">
        <v>170</v>
      </c>
      <c r="Z151" s="7">
        <v>336</v>
      </c>
      <c r="AA151" s="7" t="s">
        <v>40</v>
      </c>
      <c r="AB151" s="7">
        <v>2870</v>
      </c>
      <c r="AC151" s="12">
        <v>1850</v>
      </c>
      <c r="AD151" s="12">
        <v>5250</v>
      </c>
      <c r="AE151" s="12">
        <v>1920</v>
      </c>
      <c r="AF151" s="12">
        <v>3200</v>
      </c>
    </row>
    <row r="152" spans="1:32">
      <c r="A152" s="7" t="s">
        <v>344</v>
      </c>
      <c r="B152" s="7" t="s">
        <v>359</v>
      </c>
      <c r="C152" s="7" t="s">
        <v>359</v>
      </c>
      <c r="D152" s="7" t="s">
        <v>360</v>
      </c>
      <c r="E152" s="7" t="str">
        <f t="shared" si="6"/>
        <v>Farizon EV Ambulance A5M</v>
      </c>
      <c r="F152" s="7" t="s">
        <v>338</v>
      </c>
      <c r="G152" s="7" t="s">
        <v>361</v>
      </c>
      <c r="H152" s="7" t="s">
        <v>36</v>
      </c>
      <c r="I152" s="7" t="s">
        <v>347</v>
      </c>
      <c r="L152" s="7" t="s">
        <v>291</v>
      </c>
      <c r="M152" s="7" t="s">
        <v>91</v>
      </c>
      <c r="N152" s="7" t="s">
        <v>91</v>
      </c>
      <c r="O152" s="8" t="s">
        <v>291</v>
      </c>
      <c r="P152" s="8" t="s">
        <v>91</v>
      </c>
      <c r="Q152" s="7">
        <v>82.88</v>
      </c>
      <c r="S152" s="7">
        <v>372</v>
      </c>
      <c r="T152" s="7" t="s">
        <v>38</v>
      </c>
      <c r="U152" s="7" t="s">
        <v>39</v>
      </c>
      <c r="V152" s="7" t="s">
        <v>39</v>
      </c>
      <c r="W152" s="7">
        <f t="shared" si="5"/>
        <v>22.279569892473116</v>
      </c>
      <c r="X152" s="7">
        <v>170</v>
      </c>
      <c r="Y152" s="7">
        <v>170</v>
      </c>
      <c r="Z152" s="7">
        <v>336</v>
      </c>
      <c r="AA152" s="7" t="s">
        <v>40</v>
      </c>
      <c r="AB152" s="7">
        <v>3600</v>
      </c>
      <c r="AC152" s="12">
        <v>1700</v>
      </c>
      <c r="AD152" s="12">
        <v>4495</v>
      </c>
      <c r="AE152" s="12">
        <v>2350</v>
      </c>
      <c r="AF152" s="12">
        <v>3050</v>
      </c>
    </row>
    <row r="153" spans="1:32">
      <c r="A153" s="7" t="s">
        <v>344</v>
      </c>
      <c r="B153" s="7" t="s">
        <v>359</v>
      </c>
      <c r="C153" s="7" t="s">
        <v>359</v>
      </c>
      <c r="D153" s="7" t="s">
        <v>362</v>
      </c>
      <c r="E153" s="7" t="str">
        <f t="shared" si="6"/>
        <v>Farizon EV Ambulance A6M</v>
      </c>
      <c r="F153" s="7" t="s">
        <v>338</v>
      </c>
      <c r="G153" s="7" t="s">
        <v>363</v>
      </c>
      <c r="H153" s="7" t="s">
        <v>36</v>
      </c>
      <c r="I153" s="7" t="s">
        <v>347</v>
      </c>
      <c r="L153" s="7" t="s">
        <v>291</v>
      </c>
      <c r="M153" s="7" t="s">
        <v>91</v>
      </c>
      <c r="N153" s="7" t="s">
        <v>91</v>
      </c>
      <c r="O153" s="8" t="s">
        <v>291</v>
      </c>
      <c r="P153" s="8" t="s">
        <v>91</v>
      </c>
      <c r="Q153" s="7">
        <v>82.88</v>
      </c>
      <c r="S153" s="7">
        <v>372</v>
      </c>
      <c r="T153" s="7" t="s">
        <v>38</v>
      </c>
      <c r="U153" s="7" t="s">
        <v>39</v>
      </c>
      <c r="V153" s="7" t="s">
        <v>39</v>
      </c>
      <c r="W153" s="7">
        <f t="shared" si="5"/>
        <v>22.279569892473116</v>
      </c>
      <c r="X153" s="7">
        <v>170</v>
      </c>
      <c r="Y153" s="7">
        <v>170</v>
      </c>
      <c r="Z153" s="7">
        <v>336</v>
      </c>
      <c r="AA153" s="7" t="s">
        <v>40</v>
      </c>
      <c r="AB153" s="7">
        <v>3600</v>
      </c>
      <c r="AC153" s="12">
        <v>1750</v>
      </c>
      <c r="AD153" s="12">
        <v>4995</v>
      </c>
      <c r="AE153" s="12">
        <v>2400</v>
      </c>
      <c r="AF153" s="12">
        <v>3100</v>
      </c>
    </row>
    <row r="154" spans="1:32">
      <c r="A154" s="7" t="s">
        <v>364</v>
      </c>
      <c r="B154" s="7" t="s">
        <v>365</v>
      </c>
      <c r="C154" s="7" t="s">
        <v>365</v>
      </c>
      <c r="D154" s="7" t="s">
        <v>366</v>
      </c>
      <c r="E154" s="7" t="str">
        <f t="shared" si="6"/>
        <v>NISSAN LEAF 2018 - 2022 (2021)</v>
      </c>
      <c r="F154" s="10" t="s">
        <v>47</v>
      </c>
      <c r="G154" s="7" t="s">
        <v>47</v>
      </c>
      <c r="H154" s="7" t="s">
        <v>36</v>
      </c>
      <c r="I154" s="7">
        <v>1990000</v>
      </c>
      <c r="J154" s="8" t="s">
        <v>367</v>
      </c>
      <c r="K154" s="9" t="s">
        <v>368</v>
      </c>
      <c r="L154" s="7" t="s">
        <v>369</v>
      </c>
      <c r="M154" s="7" t="s">
        <v>370</v>
      </c>
      <c r="N154" s="7" t="s">
        <v>370</v>
      </c>
      <c r="Q154" s="7">
        <v>40</v>
      </c>
      <c r="R154" s="7">
        <v>270</v>
      </c>
      <c r="S154" s="7">
        <v>311</v>
      </c>
      <c r="T154" s="7" t="s">
        <v>371</v>
      </c>
      <c r="U154" s="7" t="s">
        <v>92</v>
      </c>
      <c r="V154" s="7" t="s">
        <v>372</v>
      </c>
      <c r="W154" s="7">
        <v>12.5</v>
      </c>
      <c r="X154" s="7">
        <v>145</v>
      </c>
      <c r="Y154" s="7">
        <v>110</v>
      </c>
      <c r="Z154" s="7">
        <v>320</v>
      </c>
      <c r="AA154" s="7" t="s">
        <v>40</v>
      </c>
      <c r="AB154" s="7">
        <v>1995</v>
      </c>
      <c r="AC154" s="20">
        <v>1790</v>
      </c>
      <c r="AD154" s="20">
        <v>4480</v>
      </c>
      <c r="AE154" s="20">
        <v>1540</v>
      </c>
      <c r="AF154" s="20">
        <v>2700</v>
      </c>
    </row>
    <row r="155" spans="1:32">
      <c r="A155" s="7" t="s">
        <v>364</v>
      </c>
      <c r="B155" s="7" t="s">
        <v>365</v>
      </c>
      <c r="C155" s="7" t="s">
        <v>365</v>
      </c>
      <c r="E155" s="7" t="str">
        <f t="shared" si="6"/>
        <v xml:space="preserve">NISSAN LEAF </v>
      </c>
      <c r="F155" s="10" t="s">
        <v>47</v>
      </c>
      <c r="G155" s="7" t="s">
        <v>47</v>
      </c>
      <c r="H155" s="7" t="s">
        <v>36</v>
      </c>
      <c r="I155" s="7">
        <v>1590000</v>
      </c>
      <c r="J155" s="8" t="s">
        <v>367</v>
      </c>
      <c r="K155" s="9" t="s">
        <v>368</v>
      </c>
      <c r="L155" s="7" t="s">
        <v>373</v>
      </c>
      <c r="M155" s="7" t="s">
        <v>370</v>
      </c>
      <c r="N155" s="7" t="s">
        <v>370</v>
      </c>
      <c r="Q155" s="7">
        <v>40</v>
      </c>
      <c r="R155" s="7">
        <v>270</v>
      </c>
      <c r="S155" s="7">
        <v>311</v>
      </c>
      <c r="T155" s="7" t="s">
        <v>371</v>
      </c>
      <c r="U155" s="7" t="s">
        <v>92</v>
      </c>
      <c r="V155" s="7" t="s">
        <v>372</v>
      </c>
      <c r="W155" s="7">
        <v>12.5</v>
      </c>
      <c r="X155" s="7">
        <v>145</v>
      </c>
      <c r="Y155" s="7">
        <v>110</v>
      </c>
      <c r="Z155" s="7">
        <v>320</v>
      </c>
      <c r="AA155" s="7" t="s">
        <v>40</v>
      </c>
      <c r="AB155" s="7">
        <v>1995</v>
      </c>
      <c r="AC155" s="20">
        <v>1790</v>
      </c>
      <c r="AD155" s="20">
        <v>4480</v>
      </c>
      <c r="AE155" s="20">
        <v>1540</v>
      </c>
      <c r="AF155" s="20">
        <v>2700</v>
      </c>
    </row>
    <row r="156" spans="1:32">
      <c r="A156" s="7" t="s">
        <v>374</v>
      </c>
      <c r="B156" s="7" t="s">
        <v>375</v>
      </c>
      <c r="C156" s="7" t="s">
        <v>375</v>
      </c>
      <c r="D156" s="7" t="s">
        <v>376</v>
      </c>
      <c r="E156" s="7" t="str">
        <f t="shared" si="6"/>
        <v>TOYOTA BZ4X FWD</v>
      </c>
      <c r="F156" s="10" t="s">
        <v>35</v>
      </c>
      <c r="G156" s="7" t="s">
        <v>377</v>
      </c>
      <c r="H156" s="7" t="s">
        <v>36</v>
      </c>
      <c r="I156" s="7">
        <v>1529000</v>
      </c>
      <c r="L156" s="7" t="s">
        <v>378</v>
      </c>
      <c r="M156" s="7" t="s">
        <v>379</v>
      </c>
      <c r="N156" s="7" t="s">
        <v>379</v>
      </c>
      <c r="Q156" s="7">
        <v>73.11</v>
      </c>
      <c r="R156" s="7">
        <v>516</v>
      </c>
      <c r="S156" s="7">
        <v>600</v>
      </c>
      <c r="T156" s="7" t="s">
        <v>380</v>
      </c>
      <c r="U156" s="7" t="s">
        <v>92</v>
      </c>
      <c r="V156" s="7" t="s">
        <v>372</v>
      </c>
      <c r="W156" s="7">
        <v>12.19</v>
      </c>
      <c r="X156" s="7">
        <v>201</v>
      </c>
      <c r="Y156" s="7">
        <v>150</v>
      </c>
      <c r="Z156" s="7">
        <v>269</v>
      </c>
      <c r="AA156" s="7" t="s">
        <v>40</v>
      </c>
      <c r="AB156" s="7">
        <v>2465</v>
      </c>
      <c r="AC156" s="12">
        <v>1860</v>
      </c>
      <c r="AD156" s="12">
        <v>4690</v>
      </c>
      <c r="AE156" s="12">
        <v>1650</v>
      </c>
      <c r="AF156" s="12">
        <v>2850</v>
      </c>
    </row>
    <row r="157" spans="1:32">
      <c r="A157" s="7" t="s">
        <v>374</v>
      </c>
      <c r="B157" s="7" t="s">
        <v>375</v>
      </c>
      <c r="C157" s="7" t="s">
        <v>381</v>
      </c>
      <c r="D157" s="7" t="s">
        <v>382</v>
      </c>
      <c r="E157" s="7" t="str">
        <f t="shared" si="6"/>
        <v>TOYOTA bZ4X AWD</v>
      </c>
      <c r="F157" s="10" t="s">
        <v>35</v>
      </c>
      <c r="G157" s="7" t="s">
        <v>377</v>
      </c>
      <c r="H157" s="7" t="s">
        <v>36</v>
      </c>
      <c r="I157" s="7">
        <v>1649000</v>
      </c>
      <c r="L157" s="7" t="s">
        <v>378</v>
      </c>
      <c r="M157" s="7" t="s">
        <v>383</v>
      </c>
      <c r="N157" s="7" t="s">
        <v>383</v>
      </c>
      <c r="Q157" s="7">
        <v>73.11</v>
      </c>
      <c r="R157" s="7">
        <v>468</v>
      </c>
      <c r="S157" s="7">
        <v>570</v>
      </c>
      <c r="T157" s="7" t="s">
        <v>380</v>
      </c>
      <c r="U157" s="7" t="s">
        <v>92</v>
      </c>
      <c r="V157" s="7" t="s">
        <v>372</v>
      </c>
      <c r="W157" s="7">
        <v>12.83</v>
      </c>
      <c r="X157" s="7">
        <v>200</v>
      </c>
      <c r="Y157" s="7">
        <v>160</v>
      </c>
      <c r="Z157" s="7">
        <v>337</v>
      </c>
      <c r="AA157" s="7" t="s">
        <v>40</v>
      </c>
      <c r="AB157" s="7">
        <v>2550</v>
      </c>
      <c r="AC157" s="12">
        <v>1860</v>
      </c>
      <c r="AD157" s="12">
        <v>4690</v>
      </c>
      <c r="AE157" s="12">
        <v>1650</v>
      </c>
      <c r="AF157" s="12">
        <v>2850</v>
      </c>
    </row>
    <row r="158" spans="1:32">
      <c r="A158" s="7" t="s">
        <v>384</v>
      </c>
      <c r="B158" s="7" t="s">
        <v>385</v>
      </c>
      <c r="C158" s="7" t="s">
        <v>386</v>
      </c>
      <c r="D158" s="7" t="s">
        <v>387</v>
      </c>
      <c r="E158" s="7" t="str">
        <f t="shared" si="6"/>
        <v>LEXUS RZ 350E 350e Grand Luxury</v>
      </c>
      <c r="F158" s="10" t="s">
        <v>35</v>
      </c>
      <c r="G158" s="7" t="s">
        <v>377</v>
      </c>
      <c r="H158" s="7" t="s">
        <v>36</v>
      </c>
      <c r="I158" s="7">
        <v>2990000</v>
      </c>
      <c r="L158" s="7" t="s">
        <v>388</v>
      </c>
      <c r="M158" s="7" t="s">
        <v>379</v>
      </c>
      <c r="N158" s="7" t="s">
        <v>379</v>
      </c>
      <c r="Q158" s="7">
        <v>76.959999999999994</v>
      </c>
      <c r="R158" s="7">
        <v>507</v>
      </c>
      <c r="S158" s="7">
        <v>600</v>
      </c>
      <c r="T158" s="7" t="s">
        <v>389</v>
      </c>
      <c r="U158" s="7" t="s">
        <v>92</v>
      </c>
      <c r="V158" s="7" t="s">
        <v>372</v>
      </c>
      <c r="W158" s="7">
        <v>12.83</v>
      </c>
      <c r="X158" s="7">
        <v>200</v>
      </c>
      <c r="Y158" s="7">
        <v>165</v>
      </c>
      <c r="Z158" s="7">
        <v>269</v>
      </c>
      <c r="AA158" s="7" t="s">
        <v>40</v>
      </c>
      <c r="AB158" s="7">
        <v>2520</v>
      </c>
      <c r="AC158" s="12">
        <v>1895</v>
      </c>
      <c r="AD158" s="12">
        <v>4805</v>
      </c>
      <c r="AE158" s="12">
        <v>1635</v>
      </c>
      <c r="AF158" s="12">
        <v>2850</v>
      </c>
    </row>
    <row r="159" spans="1:32">
      <c r="A159" s="7" t="s">
        <v>384</v>
      </c>
      <c r="B159" s="7" t="s">
        <v>385</v>
      </c>
      <c r="C159" s="7" t="s">
        <v>385</v>
      </c>
      <c r="D159" s="7" t="s">
        <v>390</v>
      </c>
      <c r="E159" s="7" t="str">
        <f t="shared" si="6"/>
        <v>LEXUS RZ  450e  Luxury</v>
      </c>
      <c r="F159" s="10" t="s">
        <v>35</v>
      </c>
      <c r="G159" s="7" t="s">
        <v>377</v>
      </c>
      <c r="H159" s="7" t="s">
        <v>36</v>
      </c>
      <c r="I159" s="7">
        <v>3870000</v>
      </c>
      <c r="L159" s="7" t="s">
        <v>391</v>
      </c>
      <c r="M159" s="7" t="s">
        <v>379</v>
      </c>
      <c r="N159" s="7" t="s">
        <v>379</v>
      </c>
      <c r="Q159" s="7">
        <v>71.400000000000006</v>
      </c>
      <c r="R159" s="7">
        <v>400</v>
      </c>
      <c r="S159" s="7">
        <v>470</v>
      </c>
      <c r="T159" s="7" t="s">
        <v>389</v>
      </c>
      <c r="U159" s="7" t="s">
        <v>92</v>
      </c>
      <c r="V159" s="7" t="s">
        <v>372</v>
      </c>
      <c r="W159" s="7">
        <v>15.19</v>
      </c>
      <c r="X159" s="7">
        <v>200</v>
      </c>
      <c r="Y159" s="7">
        <v>230</v>
      </c>
      <c r="Z159" s="7">
        <v>435</v>
      </c>
      <c r="AA159" s="7" t="s">
        <v>40</v>
      </c>
      <c r="AB159" s="7">
        <v>2640</v>
      </c>
      <c r="AC159" s="12">
        <v>1895</v>
      </c>
      <c r="AD159" s="12">
        <v>4805</v>
      </c>
      <c r="AE159" s="12">
        <v>1635</v>
      </c>
      <c r="AF159" s="12">
        <v>2850</v>
      </c>
    </row>
    <row r="160" spans="1:32">
      <c r="A160" s="7" t="s">
        <v>384</v>
      </c>
      <c r="B160" s="7" t="s">
        <v>385</v>
      </c>
      <c r="C160" s="7" t="s">
        <v>385</v>
      </c>
      <c r="D160" s="7" t="s">
        <v>392</v>
      </c>
      <c r="E160" s="7" t="str">
        <f t="shared" si="6"/>
        <v>LEXUS RZ  450e Premium</v>
      </c>
      <c r="F160" s="10" t="s">
        <v>35</v>
      </c>
      <c r="G160" s="7" t="s">
        <v>377</v>
      </c>
      <c r="H160" s="7" t="s">
        <v>36</v>
      </c>
      <c r="I160" s="7">
        <v>4190000</v>
      </c>
      <c r="L160" s="7" t="s">
        <v>391</v>
      </c>
      <c r="M160" s="7" t="s">
        <v>379</v>
      </c>
      <c r="N160" s="7" t="s">
        <v>379</v>
      </c>
      <c r="Q160" s="7">
        <v>71.400000000000006</v>
      </c>
      <c r="R160" s="7">
        <v>400</v>
      </c>
      <c r="S160" s="7">
        <v>470</v>
      </c>
      <c r="T160" s="7" t="s">
        <v>389</v>
      </c>
      <c r="U160" s="7" t="s">
        <v>92</v>
      </c>
      <c r="V160" s="7" t="s">
        <v>372</v>
      </c>
      <c r="W160" s="7">
        <v>15.19</v>
      </c>
      <c r="X160" s="7">
        <v>200</v>
      </c>
      <c r="Y160" s="7">
        <v>230</v>
      </c>
      <c r="Z160" s="7">
        <v>435</v>
      </c>
      <c r="AA160" s="7" t="s">
        <v>40</v>
      </c>
      <c r="AB160" s="7">
        <v>2130</v>
      </c>
      <c r="AC160" s="12">
        <v>1895</v>
      </c>
      <c r="AD160" s="12">
        <v>4805</v>
      </c>
      <c r="AE160" s="12">
        <v>1635</v>
      </c>
      <c r="AF160" s="12">
        <v>2850</v>
      </c>
    </row>
    <row r="161" spans="1:32">
      <c r="A161" s="7" t="s">
        <v>384</v>
      </c>
      <c r="B161" s="7" t="s">
        <v>385</v>
      </c>
      <c r="C161" s="7" t="s">
        <v>385</v>
      </c>
      <c r="D161" s="7" t="s">
        <v>393</v>
      </c>
      <c r="E161" s="7" t="str">
        <f t="shared" si="6"/>
        <v>LEXUS RZ  500e Premium AWD</v>
      </c>
      <c r="F161" s="10" t="s">
        <v>35</v>
      </c>
      <c r="G161" s="7" t="s">
        <v>377</v>
      </c>
      <c r="H161" s="7" t="s">
        <v>36</v>
      </c>
      <c r="I161" s="7">
        <v>3490000</v>
      </c>
      <c r="L161" s="7" t="s">
        <v>388</v>
      </c>
      <c r="M161" s="7" t="s">
        <v>379</v>
      </c>
      <c r="N161" s="7" t="s">
        <v>379</v>
      </c>
      <c r="Q161" s="7">
        <v>76.959999999999994</v>
      </c>
      <c r="R161" s="7">
        <v>440</v>
      </c>
      <c r="S161" s="7">
        <v>530</v>
      </c>
      <c r="T161" s="7" t="s">
        <v>389</v>
      </c>
      <c r="U161" s="7" t="s">
        <v>92</v>
      </c>
      <c r="V161" s="7" t="s">
        <v>372</v>
      </c>
      <c r="W161" s="7">
        <v>14.52</v>
      </c>
      <c r="X161" s="7">
        <v>200</v>
      </c>
      <c r="Y161" s="7">
        <v>280</v>
      </c>
      <c r="Z161" s="7" t="s">
        <v>394</v>
      </c>
      <c r="AA161" s="7" t="s">
        <v>40</v>
      </c>
      <c r="AB161" s="7">
        <v>2640</v>
      </c>
      <c r="AC161" s="12">
        <v>1895</v>
      </c>
      <c r="AD161" s="12">
        <v>4805</v>
      </c>
      <c r="AE161" s="12">
        <v>1635</v>
      </c>
      <c r="AF161" s="12">
        <v>2850</v>
      </c>
    </row>
    <row r="162" spans="1:32">
      <c r="A162" s="7" t="s">
        <v>384</v>
      </c>
      <c r="B162" s="7" t="s">
        <v>385</v>
      </c>
      <c r="C162" s="7" t="s">
        <v>385</v>
      </c>
      <c r="D162" s="7" t="s">
        <v>395</v>
      </c>
      <c r="E162" s="7" t="str">
        <f t="shared" si="6"/>
        <v>LEXUS RZ  500e Premium AWD (Steer-by-Wire)</v>
      </c>
      <c r="F162" s="10" t="s">
        <v>35</v>
      </c>
      <c r="G162" s="7" t="s">
        <v>377</v>
      </c>
      <c r="H162" s="7" t="s">
        <v>36</v>
      </c>
      <c r="I162" s="7">
        <v>3790000</v>
      </c>
      <c r="L162" s="7" t="s">
        <v>388</v>
      </c>
      <c r="M162" s="7" t="s">
        <v>379</v>
      </c>
      <c r="N162" s="7" t="s">
        <v>379</v>
      </c>
      <c r="Q162" s="7">
        <v>76.959999999999994</v>
      </c>
      <c r="R162" s="7">
        <v>440</v>
      </c>
      <c r="S162" s="7">
        <v>530</v>
      </c>
      <c r="T162" s="7" t="s">
        <v>389</v>
      </c>
      <c r="U162" s="7" t="s">
        <v>92</v>
      </c>
      <c r="V162" s="7" t="s">
        <v>372</v>
      </c>
      <c r="W162" s="7">
        <v>14.52</v>
      </c>
      <c r="X162" s="7">
        <v>200</v>
      </c>
      <c r="Y162" s="7">
        <v>280</v>
      </c>
      <c r="Z162" s="7" t="s">
        <v>394</v>
      </c>
      <c r="AA162" s="7" t="s">
        <v>40</v>
      </c>
      <c r="AB162" s="7">
        <v>2640</v>
      </c>
      <c r="AC162" s="12">
        <v>1895</v>
      </c>
      <c r="AD162" s="12">
        <v>4805</v>
      </c>
      <c r="AE162" s="12">
        <v>1635</v>
      </c>
      <c r="AF162" s="12">
        <v>2850</v>
      </c>
    </row>
    <row r="163" spans="1:32">
      <c r="A163" s="7" t="s">
        <v>384</v>
      </c>
      <c r="B163" s="7" t="s">
        <v>396</v>
      </c>
      <c r="C163" s="7" t="s">
        <v>396</v>
      </c>
      <c r="D163" s="7" t="s">
        <v>72</v>
      </c>
      <c r="E163" s="7" t="str">
        <f t="shared" si="6"/>
        <v>LEXUS UX 300E Premium</v>
      </c>
      <c r="F163" s="10" t="s">
        <v>35</v>
      </c>
      <c r="G163" s="7" t="s">
        <v>377</v>
      </c>
      <c r="H163" s="7" t="s">
        <v>36</v>
      </c>
      <c r="I163" s="7">
        <v>3490000</v>
      </c>
      <c r="L163" s="7" t="s">
        <v>397</v>
      </c>
      <c r="M163" s="7" t="s">
        <v>398</v>
      </c>
      <c r="N163" s="7" t="s">
        <v>398</v>
      </c>
      <c r="Q163" s="7">
        <v>72.8</v>
      </c>
      <c r="R163" s="7">
        <v>300</v>
      </c>
      <c r="S163" s="7">
        <v>360</v>
      </c>
      <c r="T163" s="7" t="s">
        <v>399</v>
      </c>
      <c r="U163" s="7" t="s">
        <v>92</v>
      </c>
      <c r="V163" s="7" t="s">
        <v>372</v>
      </c>
      <c r="W163" s="7">
        <v>24.27</v>
      </c>
      <c r="X163" s="7">
        <v>140</v>
      </c>
      <c r="Y163" s="7">
        <v>150</v>
      </c>
      <c r="Z163" s="7">
        <v>300</v>
      </c>
      <c r="AA163" s="7" t="s">
        <v>40</v>
      </c>
      <c r="AB163" s="7">
        <v>2245</v>
      </c>
      <c r="AC163" s="12">
        <v>1840</v>
      </c>
      <c r="AD163" s="12">
        <v>4495</v>
      </c>
      <c r="AE163" s="12">
        <v>1540</v>
      </c>
      <c r="AF163" s="12">
        <v>2640</v>
      </c>
    </row>
    <row r="164" spans="1:32">
      <c r="A164" s="7" t="s">
        <v>400</v>
      </c>
      <c r="B164" s="7" t="s">
        <v>401</v>
      </c>
      <c r="C164" s="7" t="s">
        <v>401</v>
      </c>
      <c r="D164" s="7" t="s">
        <v>402</v>
      </c>
      <c r="E164" s="7" t="str">
        <f t="shared" si="6"/>
        <v xml:space="preserve">HONDA E:N1  </v>
      </c>
      <c r="F164" s="10" t="s">
        <v>35</v>
      </c>
      <c r="G164" s="7" t="s">
        <v>377</v>
      </c>
      <c r="H164" s="7" t="s">
        <v>36</v>
      </c>
      <c r="I164" s="7">
        <v>1199000</v>
      </c>
      <c r="L164" s="7" t="s">
        <v>403</v>
      </c>
      <c r="M164" s="7" t="s">
        <v>91</v>
      </c>
      <c r="N164" s="7" t="s">
        <v>91</v>
      </c>
      <c r="Q164" s="7">
        <v>68.8</v>
      </c>
      <c r="R164" s="7">
        <v>412</v>
      </c>
      <c r="S164" s="7">
        <v>500</v>
      </c>
      <c r="T164" s="7" t="s">
        <v>389</v>
      </c>
      <c r="U164" s="7" t="s">
        <v>92</v>
      </c>
      <c r="V164" s="7" t="s">
        <v>92</v>
      </c>
      <c r="W164" s="7">
        <v>13.76</v>
      </c>
      <c r="X164" s="7">
        <v>135</v>
      </c>
      <c r="Y164" s="7">
        <v>150</v>
      </c>
      <c r="Z164" s="7">
        <v>310</v>
      </c>
      <c r="AA164" s="7" t="s">
        <v>40</v>
      </c>
      <c r="AB164" s="7">
        <v>2080</v>
      </c>
      <c r="AC164" s="12">
        <v>1790</v>
      </c>
      <c r="AD164" s="12">
        <v>4380</v>
      </c>
      <c r="AE164" s="12">
        <v>1592</v>
      </c>
      <c r="AF164" s="12">
        <v>2607</v>
      </c>
    </row>
    <row r="165" spans="1:32">
      <c r="A165" s="7" t="s">
        <v>400</v>
      </c>
      <c r="B165" s="7" t="s">
        <v>404</v>
      </c>
      <c r="C165" s="7" t="s">
        <v>404</v>
      </c>
      <c r="E165" s="7" t="str">
        <f t="shared" si="6"/>
        <v xml:space="preserve">HONDA E:N2 </v>
      </c>
      <c r="F165" s="10" t="s">
        <v>35</v>
      </c>
      <c r="G165" s="7" t="s">
        <v>65</v>
      </c>
      <c r="H165" s="7" t="s">
        <v>36</v>
      </c>
      <c r="I165" s="7">
        <v>1429000</v>
      </c>
      <c r="L165" s="7" t="s">
        <v>405</v>
      </c>
      <c r="M165" s="7" t="s">
        <v>91</v>
      </c>
      <c r="N165" s="7" t="s">
        <v>91</v>
      </c>
      <c r="Q165" s="7">
        <v>68.8</v>
      </c>
      <c r="R165" s="7" t="s">
        <v>406</v>
      </c>
      <c r="S165" s="7">
        <v>530</v>
      </c>
      <c r="T165" s="7" t="s">
        <v>389</v>
      </c>
      <c r="U165" s="7" t="s">
        <v>92</v>
      </c>
      <c r="V165" s="7" t="s">
        <v>92</v>
      </c>
      <c r="W165" s="7">
        <v>12.98</v>
      </c>
      <c r="X165" s="7">
        <v>142</v>
      </c>
      <c r="Y165" s="7">
        <v>150</v>
      </c>
      <c r="Z165" s="7">
        <v>310</v>
      </c>
      <c r="AA165" s="7" t="s">
        <v>40</v>
      </c>
      <c r="AB165" s="7">
        <v>2170</v>
      </c>
      <c r="AC165" s="12">
        <v>1840</v>
      </c>
      <c r="AD165" s="12">
        <v>4785</v>
      </c>
      <c r="AE165" s="12">
        <v>1570</v>
      </c>
      <c r="AF165" s="12">
        <v>2735</v>
      </c>
    </row>
    <row r="166" spans="1:32">
      <c r="A166" s="7" t="s">
        <v>407</v>
      </c>
      <c r="B166" s="7" t="s">
        <v>408</v>
      </c>
      <c r="C166" s="7" t="s">
        <v>408</v>
      </c>
      <c r="D166" s="7" t="s">
        <v>72</v>
      </c>
      <c r="E166" s="7" t="str">
        <f t="shared" si="6"/>
        <v>Mazda Mazda6e Premium</v>
      </c>
      <c r="F166" s="10" t="s">
        <v>53</v>
      </c>
      <c r="G166" s="7" t="s">
        <v>53</v>
      </c>
      <c r="H166" s="7" t="s">
        <v>36</v>
      </c>
      <c r="I166" s="7">
        <v>1169000</v>
      </c>
      <c r="L166" s="7" t="s">
        <v>409</v>
      </c>
      <c r="M166" s="7" t="s">
        <v>91</v>
      </c>
      <c r="N166" s="7" t="s">
        <v>91</v>
      </c>
      <c r="Q166" s="7">
        <v>77.900000000000006</v>
      </c>
      <c r="R166" s="7">
        <v>560</v>
      </c>
      <c r="S166" s="7">
        <v>654</v>
      </c>
      <c r="T166" s="7" t="s">
        <v>389</v>
      </c>
      <c r="U166" s="7" t="s">
        <v>39</v>
      </c>
      <c r="V166" s="7" t="s">
        <v>39</v>
      </c>
      <c r="W166" s="7">
        <v>11.91</v>
      </c>
      <c r="X166" s="7">
        <v>114</v>
      </c>
      <c r="Y166" s="7">
        <v>190</v>
      </c>
      <c r="Z166" s="7">
        <v>290</v>
      </c>
      <c r="AA166" s="7" t="s">
        <v>40</v>
      </c>
      <c r="AB166" s="7">
        <v>2387</v>
      </c>
      <c r="AC166" s="12">
        <v>1890</v>
      </c>
      <c r="AD166" s="12">
        <v>4921</v>
      </c>
      <c r="AE166" s="12">
        <v>1491</v>
      </c>
      <c r="AF166" s="12">
        <v>2895</v>
      </c>
    </row>
    <row r="167" spans="1:32">
      <c r="A167" s="7" t="s">
        <v>407</v>
      </c>
      <c r="B167" s="7" t="s">
        <v>408</v>
      </c>
      <c r="C167" s="7" t="s">
        <v>408</v>
      </c>
      <c r="D167" s="7" t="s">
        <v>410</v>
      </c>
      <c r="E167" s="7" t="str">
        <f t="shared" si="6"/>
        <v>Mazda Mazda6e Exclusive</v>
      </c>
      <c r="F167" s="10" t="s">
        <v>53</v>
      </c>
      <c r="G167" s="7" t="s">
        <v>53</v>
      </c>
      <c r="H167" s="7" t="s">
        <v>36</v>
      </c>
      <c r="I167" s="7">
        <v>1199000</v>
      </c>
      <c r="L167" s="7" t="s">
        <v>409</v>
      </c>
      <c r="M167" s="7" t="s">
        <v>91</v>
      </c>
      <c r="N167" s="7" t="s">
        <v>91</v>
      </c>
      <c r="Q167" s="7">
        <v>77.900000000000006</v>
      </c>
      <c r="R167" s="7">
        <v>560</v>
      </c>
      <c r="S167" s="7">
        <v>654</v>
      </c>
      <c r="T167" s="7" t="s">
        <v>389</v>
      </c>
      <c r="U167" s="7" t="s">
        <v>39</v>
      </c>
      <c r="V167" s="7" t="s">
        <v>39</v>
      </c>
      <c r="W167" s="7">
        <v>11.91</v>
      </c>
      <c r="X167" s="7">
        <v>114</v>
      </c>
      <c r="Y167" s="7">
        <v>190</v>
      </c>
      <c r="Z167" s="7">
        <v>290</v>
      </c>
      <c r="AA167" s="7" t="s">
        <v>40</v>
      </c>
      <c r="AB167" s="7">
        <v>2387</v>
      </c>
      <c r="AC167" s="12">
        <v>1890</v>
      </c>
      <c r="AD167" s="12">
        <v>4921</v>
      </c>
      <c r="AE167" s="12">
        <v>1491</v>
      </c>
      <c r="AF167" s="12">
        <v>2895</v>
      </c>
    </row>
    <row r="168" spans="1:32">
      <c r="A168" s="7" t="s">
        <v>411</v>
      </c>
      <c r="B168" s="5" t="s">
        <v>412</v>
      </c>
      <c r="C168" s="5" t="s">
        <v>413</v>
      </c>
      <c r="E168" s="7" t="str">
        <f t="shared" si="6"/>
        <v xml:space="preserve">HYUNDAI IONIQ EV </v>
      </c>
      <c r="F168" s="10" t="s">
        <v>53</v>
      </c>
      <c r="G168" s="7" t="s">
        <v>53</v>
      </c>
      <c r="H168" s="7" t="s">
        <v>36</v>
      </c>
      <c r="I168" s="11">
        <v>1749000</v>
      </c>
      <c r="L168" s="7" t="s">
        <v>414</v>
      </c>
      <c r="M168" s="7" t="s">
        <v>415</v>
      </c>
      <c r="N168" s="7" t="s">
        <v>415</v>
      </c>
      <c r="Q168" s="7">
        <v>38.299999999999997</v>
      </c>
      <c r="R168" s="7">
        <v>204</v>
      </c>
      <c r="S168" s="7">
        <v>280</v>
      </c>
      <c r="T168" s="7" t="s">
        <v>416</v>
      </c>
      <c r="U168" s="7" t="s">
        <v>92</v>
      </c>
      <c r="V168" s="7" t="s">
        <v>92</v>
      </c>
      <c r="W168" s="7">
        <v>11.5</v>
      </c>
      <c r="X168" s="7">
        <v>140</v>
      </c>
      <c r="Y168" s="7">
        <v>88</v>
      </c>
      <c r="Z168" s="7">
        <v>295</v>
      </c>
      <c r="AA168" s="7" t="s">
        <v>40</v>
      </c>
      <c r="AB168" s="11">
        <v>1880</v>
      </c>
      <c r="AC168" s="12">
        <v>1820</v>
      </c>
      <c r="AD168" s="12">
        <v>4470</v>
      </c>
      <c r="AE168" s="12">
        <v>1475</v>
      </c>
      <c r="AF168" s="12">
        <v>2700</v>
      </c>
    </row>
    <row r="169" spans="1:32">
      <c r="A169" s="7" t="s">
        <v>411</v>
      </c>
      <c r="B169" s="7" t="s">
        <v>417</v>
      </c>
      <c r="C169" s="7" t="s">
        <v>417</v>
      </c>
      <c r="D169" s="7" t="s">
        <v>418</v>
      </c>
      <c r="E169" s="7" t="str">
        <f t="shared" si="6"/>
        <v xml:space="preserve">HYUNDAI IONIQ 5 Premium </v>
      </c>
      <c r="F169" s="10" t="s">
        <v>35</v>
      </c>
      <c r="G169" s="7" t="s">
        <v>377</v>
      </c>
      <c r="H169" s="7" t="s">
        <v>36</v>
      </c>
      <c r="I169" s="7">
        <v>1239000</v>
      </c>
      <c r="L169" s="7" t="s">
        <v>419</v>
      </c>
      <c r="M169" s="7" t="s">
        <v>420</v>
      </c>
      <c r="N169" s="7" t="s">
        <v>420</v>
      </c>
      <c r="Q169" s="7">
        <v>58</v>
      </c>
      <c r="R169" s="7">
        <v>384</v>
      </c>
      <c r="S169" s="7">
        <v>438</v>
      </c>
      <c r="T169" s="7" t="s">
        <v>389</v>
      </c>
      <c r="U169" s="7" t="s">
        <v>92</v>
      </c>
      <c r="V169" s="7" t="s">
        <v>92</v>
      </c>
      <c r="W169" s="7">
        <v>16.7</v>
      </c>
      <c r="X169" s="7">
        <v>160</v>
      </c>
      <c r="Y169" s="7">
        <v>125</v>
      </c>
      <c r="Z169" s="7">
        <v>350</v>
      </c>
      <c r="AA169" s="7" t="s">
        <v>40</v>
      </c>
      <c r="AB169" s="7">
        <v>2370</v>
      </c>
      <c r="AC169" s="12">
        <v>1890</v>
      </c>
      <c r="AD169" s="12">
        <v>4655</v>
      </c>
      <c r="AE169" s="12">
        <v>1605</v>
      </c>
      <c r="AF169" s="12">
        <v>3000</v>
      </c>
    </row>
    <row r="170" spans="1:32">
      <c r="A170" s="7" t="s">
        <v>411</v>
      </c>
      <c r="B170" s="7" t="s">
        <v>417</v>
      </c>
      <c r="C170" s="7" t="s">
        <v>421</v>
      </c>
      <c r="D170" s="7" t="s">
        <v>422</v>
      </c>
      <c r="E170" s="7" t="str">
        <f t="shared" si="6"/>
        <v>HYUNDAI Hyundai IONIQ 5 Exclusive (Long Range)</v>
      </c>
      <c r="F170" s="10" t="s">
        <v>35</v>
      </c>
      <c r="G170" s="7" t="s">
        <v>377</v>
      </c>
      <c r="H170" s="7" t="s">
        <v>36</v>
      </c>
      <c r="I170" s="7">
        <v>1339000</v>
      </c>
      <c r="L170" s="7" t="s">
        <v>419</v>
      </c>
      <c r="M170" s="7" t="s">
        <v>420</v>
      </c>
      <c r="N170" s="7" t="s">
        <v>420</v>
      </c>
      <c r="Q170" s="7">
        <v>72.599999999999994</v>
      </c>
      <c r="R170" s="7" t="s">
        <v>423</v>
      </c>
      <c r="S170" s="7">
        <v>545</v>
      </c>
      <c r="T170" s="7" t="s">
        <v>389</v>
      </c>
      <c r="U170" s="7" t="s">
        <v>92</v>
      </c>
      <c r="V170" s="7" t="s">
        <v>92</v>
      </c>
      <c r="W170" s="7">
        <v>16.8</v>
      </c>
      <c r="X170" s="7">
        <v>160</v>
      </c>
      <c r="Y170" s="7">
        <v>160</v>
      </c>
      <c r="Z170" s="7">
        <v>350</v>
      </c>
      <c r="AA170" s="7" t="s">
        <v>40</v>
      </c>
      <c r="AB170" s="7">
        <v>2430</v>
      </c>
      <c r="AC170" s="12">
        <v>1890</v>
      </c>
      <c r="AD170" s="12">
        <v>4655</v>
      </c>
      <c r="AE170" s="12">
        <v>1605</v>
      </c>
      <c r="AF170" s="12">
        <v>3000</v>
      </c>
    </row>
    <row r="171" spans="1:32">
      <c r="A171" s="7" t="s">
        <v>411</v>
      </c>
      <c r="B171" s="7" t="s">
        <v>417</v>
      </c>
      <c r="C171" s="7" t="s">
        <v>421</v>
      </c>
      <c r="D171" s="7" t="s">
        <v>424</v>
      </c>
      <c r="E171" s="7" t="str">
        <f t="shared" si="6"/>
        <v>HYUNDAI Hyundai IONIQ 5 5 N Line (Minorchange)</v>
      </c>
      <c r="F171" s="10" t="s">
        <v>35</v>
      </c>
      <c r="G171" s="7" t="s">
        <v>377</v>
      </c>
      <c r="H171" s="7" t="s">
        <v>36</v>
      </c>
      <c r="I171" s="7">
        <v>1988000</v>
      </c>
      <c r="L171" s="7" t="s">
        <v>425</v>
      </c>
      <c r="M171" s="7" t="s">
        <v>420</v>
      </c>
      <c r="N171" s="7" t="s">
        <v>420</v>
      </c>
      <c r="Q171" s="7">
        <v>84</v>
      </c>
      <c r="R171" s="7">
        <v>530</v>
      </c>
      <c r="S171" s="7">
        <v>600</v>
      </c>
      <c r="T171" s="7" t="s">
        <v>389</v>
      </c>
      <c r="U171" s="7" t="s">
        <v>92</v>
      </c>
      <c r="V171" s="7" t="s">
        <v>92</v>
      </c>
      <c r="W171" s="7">
        <v>17.2</v>
      </c>
      <c r="X171" s="7">
        <v>160</v>
      </c>
      <c r="Y171" s="7">
        <v>168</v>
      </c>
      <c r="Z171" s="7">
        <v>350</v>
      </c>
      <c r="AA171" s="7" t="s">
        <v>40</v>
      </c>
      <c r="AB171" s="7">
        <v>2430</v>
      </c>
      <c r="AC171" s="12">
        <v>1890</v>
      </c>
      <c r="AD171" s="12">
        <v>4715</v>
      </c>
      <c r="AE171" s="12">
        <v>1605</v>
      </c>
      <c r="AF171" s="12">
        <v>3000</v>
      </c>
    </row>
    <row r="172" spans="1:32">
      <c r="A172" s="7" t="s">
        <v>411</v>
      </c>
      <c r="B172" s="7" t="s">
        <v>417</v>
      </c>
      <c r="C172" s="7" t="s">
        <v>421</v>
      </c>
      <c r="D172" s="7" t="s">
        <v>426</v>
      </c>
      <c r="E172" s="7" t="str">
        <f t="shared" si="6"/>
        <v>HYUNDAI Hyundai IONIQ 5 First Edition</v>
      </c>
      <c r="F172" s="10" t="s">
        <v>35</v>
      </c>
      <c r="G172" s="7" t="s">
        <v>377</v>
      </c>
      <c r="H172" s="7" t="s">
        <v>36</v>
      </c>
      <c r="I172" s="7">
        <v>1639000</v>
      </c>
      <c r="L172" s="7" t="s">
        <v>427</v>
      </c>
      <c r="M172" s="7" t="s">
        <v>420</v>
      </c>
      <c r="N172" s="7" t="s">
        <v>420</v>
      </c>
      <c r="Q172" s="7">
        <v>72.599999999999994</v>
      </c>
      <c r="R172" s="7">
        <v>451</v>
      </c>
      <c r="S172" s="7">
        <v>514</v>
      </c>
      <c r="T172" s="7" t="s">
        <v>389</v>
      </c>
      <c r="U172" s="7" t="s">
        <v>92</v>
      </c>
      <c r="V172" s="7" t="s">
        <v>92</v>
      </c>
      <c r="W172" s="7">
        <v>17.899999999999999</v>
      </c>
      <c r="X172" s="7" t="s">
        <v>428</v>
      </c>
      <c r="Y172" s="7">
        <v>160</v>
      </c>
      <c r="Z172" s="7">
        <v>350</v>
      </c>
      <c r="AA172" s="7" t="s">
        <v>40</v>
      </c>
      <c r="AB172" s="7">
        <v>2430</v>
      </c>
      <c r="AC172" s="12">
        <v>1890</v>
      </c>
      <c r="AD172" s="12">
        <v>4655</v>
      </c>
      <c r="AE172" s="12">
        <v>1605</v>
      </c>
      <c r="AF172" s="12">
        <v>3000</v>
      </c>
    </row>
    <row r="173" spans="1:32">
      <c r="A173" s="7" t="s">
        <v>411</v>
      </c>
      <c r="B173" s="7" t="s">
        <v>417</v>
      </c>
      <c r="C173" s="7" t="s">
        <v>421</v>
      </c>
      <c r="D173" s="7" t="s">
        <v>429</v>
      </c>
      <c r="E173" s="7" t="str">
        <f t="shared" si="6"/>
        <v>HYUNDAI Hyundai IONIQ 5 N โหมดปกติ</v>
      </c>
      <c r="F173" s="10" t="s">
        <v>35</v>
      </c>
      <c r="G173" s="7" t="s">
        <v>377</v>
      </c>
      <c r="H173" s="7" t="s">
        <v>36</v>
      </c>
      <c r="I173" s="7">
        <v>3790000</v>
      </c>
      <c r="L173" s="7" t="s">
        <v>430</v>
      </c>
      <c r="M173" s="7" t="s">
        <v>420</v>
      </c>
      <c r="N173" s="7" t="s">
        <v>420</v>
      </c>
      <c r="Q173" s="7">
        <v>84</v>
      </c>
      <c r="R173" s="7">
        <v>448</v>
      </c>
      <c r="S173" s="7">
        <v>505</v>
      </c>
      <c r="T173" s="7" t="s">
        <v>431</v>
      </c>
      <c r="U173" s="7" t="s">
        <v>92</v>
      </c>
      <c r="V173" s="7" t="s">
        <v>92</v>
      </c>
      <c r="W173" s="7">
        <v>21.2</v>
      </c>
      <c r="X173" s="7">
        <v>142</v>
      </c>
      <c r="Y173" s="7">
        <v>448</v>
      </c>
      <c r="Z173" s="7">
        <v>740</v>
      </c>
      <c r="AA173" s="7" t="s">
        <v>40</v>
      </c>
      <c r="AB173" s="7">
        <v>2660</v>
      </c>
      <c r="AC173" s="12">
        <v>1940</v>
      </c>
      <c r="AD173" s="12">
        <v>4715</v>
      </c>
      <c r="AE173" s="12">
        <v>1585</v>
      </c>
      <c r="AF173" s="12">
        <v>3000</v>
      </c>
    </row>
    <row r="174" spans="1:32">
      <c r="A174" s="7" t="s">
        <v>411</v>
      </c>
      <c r="B174" s="7" t="s">
        <v>417</v>
      </c>
      <c r="C174" s="7" t="s">
        <v>421</v>
      </c>
      <c r="E174" s="7" t="str">
        <f t="shared" si="6"/>
        <v xml:space="preserve">HYUNDAI Hyundai IONIQ 5 </v>
      </c>
      <c r="F174" s="10" t="s">
        <v>35</v>
      </c>
      <c r="G174" s="7" t="s">
        <v>377</v>
      </c>
      <c r="H174" s="7" t="s">
        <v>36</v>
      </c>
      <c r="I174" s="7">
        <v>3790000</v>
      </c>
      <c r="L174" s="7" t="s">
        <v>430</v>
      </c>
      <c r="M174" s="7" t="s">
        <v>420</v>
      </c>
      <c r="N174" s="7" t="s">
        <v>420</v>
      </c>
      <c r="Q174" s="7">
        <v>84</v>
      </c>
      <c r="R174" s="7">
        <v>448</v>
      </c>
      <c r="S174" s="7">
        <v>505</v>
      </c>
      <c r="T174" s="7" t="s">
        <v>431</v>
      </c>
      <c r="U174" s="7" t="s">
        <v>92</v>
      </c>
      <c r="V174" s="7" t="s">
        <v>92</v>
      </c>
      <c r="W174" s="7">
        <v>21.2</v>
      </c>
      <c r="X174" s="7">
        <v>142</v>
      </c>
      <c r="Y174" s="7">
        <v>478</v>
      </c>
      <c r="Z174" s="7">
        <v>770</v>
      </c>
      <c r="AA174" s="7" t="s">
        <v>40</v>
      </c>
      <c r="AB174" s="7">
        <v>2660</v>
      </c>
      <c r="AC174" s="12">
        <v>1890</v>
      </c>
      <c r="AD174" s="12">
        <v>4655</v>
      </c>
      <c r="AE174" s="12">
        <v>1605</v>
      </c>
      <c r="AF174" s="12">
        <v>3000</v>
      </c>
    </row>
    <row r="175" spans="1:32">
      <c r="A175" s="7" t="s">
        <v>411</v>
      </c>
      <c r="B175" s="7" t="s">
        <v>432</v>
      </c>
      <c r="C175" s="7" t="s">
        <v>432</v>
      </c>
      <c r="D175" s="7" t="s">
        <v>433</v>
      </c>
      <c r="E175" s="7" t="str">
        <f t="shared" si="6"/>
        <v xml:space="preserve">HYUNDAI IONIQ 6 Exclusive </v>
      </c>
      <c r="F175" s="10" t="s">
        <v>53</v>
      </c>
      <c r="G175" s="7" t="s">
        <v>53</v>
      </c>
      <c r="H175" s="7" t="s">
        <v>36</v>
      </c>
      <c r="I175" s="7">
        <v>1729000</v>
      </c>
      <c r="L175" s="7" t="s">
        <v>434</v>
      </c>
      <c r="M175" s="7" t="s">
        <v>420</v>
      </c>
      <c r="N175" s="7" t="s">
        <v>420</v>
      </c>
      <c r="Q175" s="7">
        <v>77.400000000000006</v>
      </c>
      <c r="R175" s="7">
        <v>545</v>
      </c>
      <c r="S175" s="7">
        <v>614</v>
      </c>
      <c r="T175" s="7" t="s">
        <v>389</v>
      </c>
      <c r="U175" s="7" t="s">
        <v>92</v>
      </c>
      <c r="V175" s="7" t="s">
        <v>92</v>
      </c>
      <c r="W175" s="7">
        <v>14.3</v>
      </c>
      <c r="X175" s="7">
        <v>141</v>
      </c>
      <c r="Y175" s="7">
        <v>168</v>
      </c>
      <c r="Z175" s="7">
        <v>350</v>
      </c>
      <c r="AA175" s="7" t="s">
        <v>40</v>
      </c>
      <c r="AB175" s="7">
        <v>2410</v>
      </c>
      <c r="AC175" s="12">
        <v>1880</v>
      </c>
      <c r="AD175" s="12">
        <v>4855</v>
      </c>
      <c r="AE175" s="12">
        <v>1495</v>
      </c>
      <c r="AF175" s="12">
        <v>2950</v>
      </c>
    </row>
    <row r="176" spans="1:32">
      <c r="A176" s="7" t="s">
        <v>411</v>
      </c>
      <c r="B176" s="7" t="s">
        <v>435</v>
      </c>
      <c r="C176" s="7" t="s">
        <v>435</v>
      </c>
      <c r="D176" s="7" t="s">
        <v>436</v>
      </c>
      <c r="E176" s="7" t="str">
        <f t="shared" si="6"/>
        <v>HYUNDAI KONA ELECTRIC N Line</v>
      </c>
      <c r="F176" s="10" t="s">
        <v>35</v>
      </c>
      <c r="G176" s="7" t="s">
        <v>377</v>
      </c>
      <c r="H176" s="7" t="s">
        <v>36</v>
      </c>
      <c r="I176" s="7" t="s">
        <v>406</v>
      </c>
      <c r="L176" s="7" t="s">
        <v>437</v>
      </c>
      <c r="M176" s="7" t="s">
        <v>415</v>
      </c>
      <c r="N176" s="7" t="s">
        <v>415</v>
      </c>
      <c r="Q176" s="7">
        <v>66</v>
      </c>
      <c r="R176" s="7">
        <v>451</v>
      </c>
      <c r="S176" s="7">
        <v>546</v>
      </c>
      <c r="T176" s="7" t="s">
        <v>389</v>
      </c>
      <c r="U176" s="7" t="s">
        <v>92</v>
      </c>
      <c r="V176" s="7" t="s">
        <v>92</v>
      </c>
      <c r="W176" s="7">
        <v>14.8</v>
      </c>
      <c r="X176" s="7">
        <v>151</v>
      </c>
      <c r="Y176" s="7">
        <v>160</v>
      </c>
      <c r="Z176" s="7">
        <v>255</v>
      </c>
      <c r="AA176" s="7" t="s">
        <v>40</v>
      </c>
      <c r="AB176" s="7">
        <v>1773</v>
      </c>
      <c r="AC176" s="12">
        <v>1825</v>
      </c>
      <c r="AD176" s="12">
        <v>4385</v>
      </c>
      <c r="AE176" s="12">
        <v>1590</v>
      </c>
      <c r="AF176" s="12">
        <v>2660</v>
      </c>
    </row>
    <row r="177" spans="1:32">
      <c r="A177" s="7" t="s">
        <v>438</v>
      </c>
      <c r="B177" s="7" t="s">
        <v>439</v>
      </c>
      <c r="C177" s="7" t="s">
        <v>439</v>
      </c>
      <c r="D177" s="7" t="s">
        <v>440</v>
      </c>
      <c r="E177" s="7" t="str">
        <f t="shared" si="6"/>
        <v>KIA EV5 Light</v>
      </c>
      <c r="F177" s="10" t="s">
        <v>35</v>
      </c>
      <c r="G177" s="7" t="s">
        <v>193</v>
      </c>
      <c r="H177" s="7" t="s">
        <v>36</v>
      </c>
      <c r="I177" s="7">
        <v>1119000</v>
      </c>
      <c r="L177" s="7" t="s">
        <v>441</v>
      </c>
      <c r="M177" s="7" t="s">
        <v>442</v>
      </c>
      <c r="N177" s="7" t="s">
        <v>442</v>
      </c>
      <c r="Q177" s="7">
        <v>64.2</v>
      </c>
      <c r="R177" s="7">
        <v>400</v>
      </c>
      <c r="S177" s="7">
        <v>490</v>
      </c>
      <c r="T177" s="7" t="s">
        <v>389</v>
      </c>
      <c r="U177" s="7" t="s">
        <v>39</v>
      </c>
      <c r="V177" s="7" t="s">
        <v>39</v>
      </c>
      <c r="W177" s="7">
        <v>18.2</v>
      </c>
      <c r="X177" s="7">
        <v>175</v>
      </c>
      <c r="Y177" s="7">
        <v>160</v>
      </c>
      <c r="Z177" s="7">
        <v>310</v>
      </c>
      <c r="AA177" s="7" t="s">
        <v>40</v>
      </c>
      <c r="AB177" s="7">
        <v>2350</v>
      </c>
      <c r="AC177" s="12">
        <v>1875</v>
      </c>
      <c r="AD177" s="12">
        <v>4615</v>
      </c>
      <c r="AE177" s="12">
        <v>1715</v>
      </c>
      <c r="AF177" s="12">
        <v>2750</v>
      </c>
    </row>
    <row r="178" spans="1:32">
      <c r="A178" s="7" t="s">
        <v>438</v>
      </c>
      <c r="B178" s="7" t="s">
        <v>439</v>
      </c>
      <c r="C178" s="7" t="s">
        <v>443</v>
      </c>
      <c r="D178" s="7" t="s">
        <v>444</v>
      </c>
      <c r="E178" s="7" t="str">
        <f t="shared" si="6"/>
        <v>KIA The Kia EV5 Air</v>
      </c>
      <c r="F178" s="10" t="s">
        <v>35</v>
      </c>
      <c r="G178" s="7" t="s">
        <v>193</v>
      </c>
      <c r="H178" s="7" t="s">
        <v>36</v>
      </c>
      <c r="I178" s="7">
        <v>1399000</v>
      </c>
      <c r="L178" s="7" t="s">
        <v>441</v>
      </c>
      <c r="M178" s="7" t="s">
        <v>442</v>
      </c>
      <c r="N178" s="7" t="s">
        <v>442</v>
      </c>
      <c r="Q178" s="7">
        <v>64.2</v>
      </c>
      <c r="R178" s="7">
        <v>400</v>
      </c>
      <c r="S178" s="7">
        <v>490</v>
      </c>
      <c r="T178" s="7" t="s">
        <v>389</v>
      </c>
      <c r="U178" s="7" t="s">
        <v>39</v>
      </c>
      <c r="V178" s="7" t="s">
        <v>39</v>
      </c>
      <c r="W178" s="7">
        <v>18.2</v>
      </c>
      <c r="X178" s="7">
        <v>175</v>
      </c>
      <c r="Y178" s="7">
        <v>160</v>
      </c>
      <c r="Z178" s="7">
        <v>310</v>
      </c>
      <c r="AA178" s="7" t="s">
        <v>40</v>
      </c>
      <c r="AB178" s="7">
        <v>2340</v>
      </c>
      <c r="AC178" s="12">
        <v>1875</v>
      </c>
      <c r="AD178" s="12">
        <v>4615</v>
      </c>
      <c r="AE178" s="12">
        <v>1715</v>
      </c>
      <c r="AF178" s="12">
        <v>2750</v>
      </c>
    </row>
    <row r="179" spans="1:32">
      <c r="A179" s="7" t="s">
        <v>438</v>
      </c>
      <c r="B179" s="7" t="s">
        <v>439</v>
      </c>
      <c r="C179" s="7" t="s">
        <v>445</v>
      </c>
      <c r="D179" s="7" t="s">
        <v>446</v>
      </c>
      <c r="E179" s="7" t="str">
        <f t="shared" si="6"/>
        <v>KIA The Kia Ev5  Earth Long Range </v>
      </c>
      <c r="F179" s="10" t="s">
        <v>35</v>
      </c>
      <c r="G179" s="7" t="s">
        <v>193</v>
      </c>
      <c r="H179" s="7" t="s">
        <v>36</v>
      </c>
      <c r="I179" s="7">
        <v>1599000</v>
      </c>
      <c r="L179" s="7" t="s">
        <v>447</v>
      </c>
      <c r="M179" s="7" t="s">
        <v>442</v>
      </c>
      <c r="N179" s="7" t="s">
        <v>442</v>
      </c>
      <c r="Q179" s="7">
        <v>88.1</v>
      </c>
      <c r="R179" s="7">
        <v>540</v>
      </c>
      <c r="S179" s="7">
        <v>665</v>
      </c>
      <c r="T179" s="7" t="s">
        <v>389</v>
      </c>
      <c r="U179" s="7" t="s">
        <v>39</v>
      </c>
      <c r="V179" s="7" t="s">
        <v>39</v>
      </c>
      <c r="W179" s="7">
        <v>18</v>
      </c>
      <c r="X179" s="7">
        <v>166</v>
      </c>
      <c r="Y179" s="7">
        <v>160</v>
      </c>
      <c r="Z179" s="7">
        <v>310</v>
      </c>
      <c r="AA179" s="7" t="s">
        <v>40</v>
      </c>
      <c r="AB179" s="7">
        <v>2490</v>
      </c>
      <c r="AC179" s="12">
        <v>1875</v>
      </c>
      <c r="AD179" s="12">
        <v>4615</v>
      </c>
      <c r="AE179" s="12">
        <v>1715</v>
      </c>
      <c r="AF179" s="12">
        <v>2750</v>
      </c>
    </row>
    <row r="180" spans="1:32">
      <c r="A180" s="7" t="s">
        <v>438</v>
      </c>
      <c r="B180" s="7" t="s">
        <v>439</v>
      </c>
      <c r="C180" s="7" t="s">
        <v>443</v>
      </c>
      <c r="D180" s="7" t="s">
        <v>448</v>
      </c>
      <c r="E180" s="7" t="str">
        <f t="shared" si="6"/>
        <v>KIA The Kia EV5 Earth Exclusive AWD</v>
      </c>
      <c r="F180" s="10" t="s">
        <v>35</v>
      </c>
      <c r="G180" s="7" t="s">
        <v>193</v>
      </c>
      <c r="H180" s="7" t="s">
        <v>36</v>
      </c>
      <c r="I180" s="7" t="s">
        <v>449</v>
      </c>
      <c r="L180" s="7" t="s">
        <v>447</v>
      </c>
      <c r="M180" s="7" t="s">
        <v>442</v>
      </c>
      <c r="N180" s="7" t="s">
        <v>442</v>
      </c>
      <c r="Q180" s="7">
        <v>88.1</v>
      </c>
      <c r="R180" s="7">
        <v>500</v>
      </c>
      <c r="S180" s="7">
        <v>620</v>
      </c>
      <c r="T180" s="7" t="s">
        <v>389</v>
      </c>
      <c r="U180" s="7" t="s">
        <v>39</v>
      </c>
      <c r="V180" s="7" t="s">
        <v>39</v>
      </c>
      <c r="W180" s="7">
        <v>20.100000000000001</v>
      </c>
      <c r="X180" s="7">
        <v>166</v>
      </c>
      <c r="Y180" s="7">
        <v>230</v>
      </c>
      <c r="Z180" s="7">
        <v>480</v>
      </c>
      <c r="AA180" s="7" t="s">
        <v>40</v>
      </c>
      <c r="AB180" s="7">
        <v>2630</v>
      </c>
      <c r="AC180" s="12">
        <v>1875</v>
      </c>
      <c r="AD180" s="12">
        <v>4615</v>
      </c>
      <c r="AE180" s="12">
        <v>1715</v>
      </c>
      <c r="AF180" s="12">
        <v>2750</v>
      </c>
    </row>
    <row r="181" spans="1:32">
      <c r="A181" s="7" t="s">
        <v>438</v>
      </c>
      <c r="B181" s="7" t="s">
        <v>439</v>
      </c>
      <c r="C181" s="7" t="s">
        <v>443</v>
      </c>
      <c r="D181" s="7" t="s">
        <v>450</v>
      </c>
      <c r="E181" s="7" t="str">
        <f t="shared" si="6"/>
        <v>KIA The Kia EV5 GT-Line AWD</v>
      </c>
      <c r="F181" s="10" t="s">
        <v>35</v>
      </c>
      <c r="G181" s="7" t="s">
        <v>193</v>
      </c>
      <c r="H181" s="7" t="s">
        <v>36</v>
      </c>
      <c r="I181" s="7" t="s">
        <v>451</v>
      </c>
      <c r="L181" s="7" t="s">
        <v>447</v>
      </c>
      <c r="M181" s="7" t="s">
        <v>91</v>
      </c>
      <c r="N181" s="7" t="s">
        <v>91</v>
      </c>
      <c r="Q181" s="7">
        <v>88.1</v>
      </c>
      <c r="R181" s="7">
        <v>475</v>
      </c>
      <c r="S181" s="7">
        <v>555</v>
      </c>
      <c r="T181" s="7" t="s">
        <v>389</v>
      </c>
      <c r="U181" s="7" t="s">
        <v>39</v>
      </c>
      <c r="V181" s="7" t="s">
        <v>39</v>
      </c>
      <c r="W181" s="7">
        <v>21</v>
      </c>
      <c r="X181" s="7">
        <v>166</v>
      </c>
      <c r="Y181" s="7">
        <v>230</v>
      </c>
      <c r="Z181" s="7">
        <v>480</v>
      </c>
      <c r="AA181" s="7" t="s">
        <v>40</v>
      </c>
      <c r="AB181" s="7">
        <v>2630</v>
      </c>
      <c r="AC181" s="12">
        <v>1875</v>
      </c>
      <c r="AD181" s="12">
        <v>4615</v>
      </c>
      <c r="AE181" s="12">
        <v>1715</v>
      </c>
      <c r="AF181" s="12">
        <v>2750</v>
      </c>
    </row>
    <row r="182" spans="1:32">
      <c r="A182" s="7" t="s">
        <v>438</v>
      </c>
      <c r="B182" s="15" t="s">
        <v>452</v>
      </c>
      <c r="C182" s="15" t="s">
        <v>452</v>
      </c>
      <c r="D182" s="15"/>
      <c r="E182" s="7" t="str">
        <f t="shared" si="6"/>
        <v xml:space="preserve">KIA EV6 </v>
      </c>
      <c r="F182" s="10" t="s">
        <v>35</v>
      </c>
      <c r="G182" s="15" t="s">
        <v>453</v>
      </c>
      <c r="H182" s="15" t="s">
        <v>36</v>
      </c>
      <c r="I182" s="15">
        <v>3200000</v>
      </c>
      <c r="J182" s="21" t="s">
        <v>454</v>
      </c>
      <c r="K182" s="22" t="s">
        <v>454</v>
      </c>
      <c r="L182" s="15" t="s">
        <v>455</v>
      </c>
      <c r="M182" s="15" t="s">
        <v>420</v>
      </c>
      <c r="N182" s="15" t="s">
        <v>420</v>
      </c>
      <c r="O182" s="23">
        <v>58</v>
      </c>
      <c r="P182" s="23">
        <v>394</v>
      </c>
      <c r="Q182" s="15">
        <v>58</v>
      </c>
      <c r="R182" s="15">
        <v>394</v>
      </c>
      <c r="S182" s="15">
        <v>430</v>
      </c>
      <c r="T182" s="15" t="s">
        <v>389</v>
      </c>
      <c r="U182" s="7" t="s">
        <v>92</v>
      </c>
      <c r="V182" s="15" t="s">
        <v>92</v>
      </c>
      <c r="W182" s="15">
        <v>16.600000000000001</v>
      </c>
      <c r="X182" s="15">
        <v>155</v>
      </c>
      <c r="Y182" s="15">
        <v>125</v>
      </c>
      <c r="Z182" s="15">
        <v>350</v>
      </c>
      <c r="AA182" s="7" t="s">
        <v>40</v>
      </c>
      <c r="AB182" s="15">
        <v>2340</v>
      </c>
      <c r="AC182" s="12">
        <v>1890</v>
      </c>
      <c r="AD182" s="12">
        <v>4695</v>
      </c>
      <c r="AE182" s="12">
        <v>1550</v>
      </c>
      <c r="AF182" s="12">
        <v>2900</v>
      </c>
    </row>
    <row r="183" spans="1:32">
      <c r="A183" s="7" t="s">
        <v>438</v>
      </c>
      <c r="B183" s="7" t="s">
        <v>456</v>
      </c>
      <c r="C183" s="7" t="s">
        <v>456</v>
      </c>
      <c r="D183" s="7" t="s">
        <v>457</v>
      </c>
      <c r="E183" s="7" t="str">
        <f t="shared" si="6"/>
        <v>KIA EV9 Earth Long Range</v>
      </c>
      <c r="F183" s="10" t="s">
        <v>35</v>
      </c>
      <c r="G183" s="7" t="s">
        <v>458</v>
      </c>
      <c r="H183" s="7" t="s">
        <v>36</v>
      </c>
      <c r="I183" s="7">
        <v>3499000</v>
      </c>
      <c r="L183" s="7" t="s">
        <v>459</v>
      </c>
      <c r="M183" s="7" t="s">
        <v>420</v>
      </c>
      <c r="N183" s="7" t="s">
        <v>420</v>
      </c>
      <c r="Q183" s="7">
        <v>99.8</v>
      </c>
      <c r="R183" s="7">
        <v>541</v>
      </c>
      <c r="S183" s="7">
        <v>680</v>
      </c>
      <c r="T183" s="7" t="s">
        <v>389</v>
      </c>
      <c r="U183" s="7" t="s">
        <v>92</v>
      </c>
      <c r="V183" s="7" t="s">
        <v>372</v>
      </c>
      <c r="W183" s="7">
        <v>22.8</v>
      </c>
      <c r="X183" s="7">
        <v>177</v>
      </c>
      <c r="Y183" s="7">
        <v>149.5</v>
      </c>
      <c r="Z183" s="7">
        <v>350</v>
      </c>
      <c r="AA183" s="7" t="s">
        <v>40</v>
      </c>
      <c r="AB183" s="7">
        <v>3005</v>
      </c>
      <c r="AC183" s="12">
        <v>1980</v>
      </c>
      <c r="AD183" s="12">
        <v>5015</v>
      </c>
      <c r="AE183" s="12">
        <v>1780</v>
      </c>
      <c r="AF183" s="12">
        <v>3100</v>
      </c>
    </row>
    <row r="184" spans="1:32">
      <c r="A184" s="7" t="s">
        <v>438</v>
      </c>
      <c r="B184" s="7" t="s">
        <v>456</v>
      </c>
      <c r="C184" s="7" t="s">
        <v>460</v>
      </c>
      <c r="D184" s="7" t="s">
        <v>450</v>
      </c>
      <c r="E184" s="7" t="str">
        <f t="shared" si="6"/>
        <v>KIA The Kia EV9 GT-Line AWD</v>
      </c>
      <c r="F184" s="10" t="s">
        <v>35</v>
      </c>
      <c r="G184" s="7" t="s">
        <v>458</v>
      </c>
      <c r="H184" s="7" t="s">
        <v>36</v>
      </c>
      <c r="I184" s="7">
        <v>3899000</v>
      </c>
      <c r="L184" s="7" t="s">
        <v>459</v>
      </c>
      <c r="M184" s="7" t="s">
        <v>420</v>
      </c>
      <c r="N184" s="7" t="s">
        <v>420</v>
      </c>
      <c r="Q184" s="7">
        <v>99.8</v>
      </c>
      <c r="R184" s="7">
        <v>505</v>
      </c>
      <c r="S184" s="7">
        <v>647</v>
      </c>
      <c r="T184" s="7" t="s">
        <v>389</v>
      </c>
      <c r="U184" s="7" t="s">
        <v>92</v>
      </c>
      <c r="V184" s="7" t="s">
        <v>372</v>
      </c>
      <c r="W184" s="7">
        <v>22.8</v>
      </c>
      <c r="X184" s="7">
        <v>177</v>
      </c>
      <c r="Y184" s="7">
        <v>282.60000000000002</v>
      </c>
      <c r="Z184" s="7">
        <v>700</v>
      </c>
      <c r="AA184" s="7" t="s">
        <v>40</v>
      </c>
      <c r="AB184" s="7">
        <v>3190</v>
      </c>
      <c r="AC184" s="12">
        <v>1980</v>
      </c>
      <c r="AD184" s="12">
        <v>5015</v>
      </c>
      <c r="AE184" s="12">
        <v>1780</v>
      </c>
      <c r="AF184" s="12">
        <v>3100</v>
      </c>
    </row>
    <row r="185" spans="1:32">
      <c r="A185" s="15" t="s">
        <v>438</v>
      </c>
      <c r="B185" s="15" t="s">
        <v>461</v>
      </c>
      <c r="C185" s="15" t="s">
        <v>461</v>
      </c>
      <c r="D185" s="15"/>
      <c r="E185" s="7" t="str">
        <f t="shared" si="6"/>
        <v xml:space="preserve">KIA SOUL EV </v>
      </c>
      <c r="F185" s="10" t="s">
        <v>35</v>
      </c>
      <c r="G185" s="15" t="s">
        <v>462</v>
      </c>
      <c r="H185" s="15" t="s">
        <v>36</v>
      </c>
      <c r="I185" s="15">
        <v>2387000</v>
      </c>
      <c r="J185" s="21" t="s">
        <v>454</v>
      </c>
      <c r="K185" s="22" t="s">
        <v>454</v>
      </c>
      <c r="L185" s="15" t="s">
        <v>463</v>
      </c>
      <c r="M185" s="15" t="s">
        <v>420</v>
      </c>
      <c r="N185" s="15" t="s">
        <v>420</v>
      </c>
      <c r="Q185" s="15">
        <v>64</v>
      </c>
      <c r="R185" s="15">
        <v>452</v>
      </c>
      <c r="S185" s="15">
        <v>452</v>
      </c>
      <c r="T185" s="15" t="s">
        <v>389</v>
      </c>
      <c r="U185" s="7" t="s">
        <v>92</v>
      </c>
      <c r="V185" s="15" t="s">
        <v>464</v>
      </c>
      <c r="W185" s="15">
        <v>15.7</v>
      </c>
      <c r="X185" s="15">
        <v>155</v>
      </c>
      <c r="Y185" s="15">
        <v>150</v>
      </c>
      <c r="Z185" s="15">
        <v>395</v>
      </c>
      <c r="AA185" s="7" t="s">
        <v>40</v>
      </c>
      <c r="AB185" s="15">
        <v>2180</v>
      </c>
      <c r="AC185" s="5">
        <v>1800</v>
      </c>
      <c r="AD185" s="5">
        <v>4195</v>
      </c>
      <c r="AE185" s="5">
        <v>1605</v>
      </c>
      <c r="AF185" s="5">
        <v>2600</v>
      </c>
    </row>
    <row r="186" spans="1:32">
      <c r="A186" s="7" t="s">
        <v>465</v>
      </c>
      <c r="B186" s="7" t="s">
        <v>466</v>
      </c>
      <c r="C186" s="7" t="s">
        <v>467</v>
      </c>
      <c r="D186" s="7" t="s">
        <v>468</v>
      </c>
      <c r="E186" s="7" t="str">
        <f t="shared" si="6"/>
        <v>VOLVO Volvo EX30 Ultra Twin Performance Cross Country</v>
      </c>
      <c r="F186" s="10" t="s">
        <v>35</v>
      </c>
      <c r="G186" s="7" t="s">
        <v>462</v>
      </c>
      <c r="H186" s="7" t="s">
        <v>36</v>
      </c>
      <c r="I186" s="7">
        <v>1890000</v>
      </c>
      <c r="L186" s="7" t="s">
        <v>469</v>
      </c>
      <c r="M186" s="7" t="s">
        <v>470</v>
      </c>
      <c r="N186" s="7" t="s">
        <v>470</v>
      </c>
      <c r="Q186" s="7">
        <v>69</v>
      </c>
      <c r="R186" s="7">
        <v>425</v>
      </c>
      <c r="S186" s="7">
        <v>490</v>
      </c>
      <c r="T186" s="7" t="s">
        <v>389</v>
      </c>
      <c r="U186" s="7" t="s">
        <v>92</v>
      </c>
      <c r="V186" s="7" t="s">
        <v>92</v>
      </c>
      <c r="W186" s="7">
        <v>17.5</v>
      </c>
      <c r="X186" s="7">
        <v>188</v>
      </c>
      <c r="Y186" s="7">
        <v>315</v>
      </c>
      <c r="Z186" s="7">
        <v>543</v>
      </c>
      <c r="AA186" s="7" t="s">
        <v>40</v>
      </c>
      <c r="AB186" s="7">
        <v>2335</v>
      </c>
      <c r="AC186" s="12">
        <v>1940</v>
      </c>
      <c r="AD186" s="12">
        <v>4233</v>
      </c>
      <c r="AE186" s="12">
        <v>1555</v>
      </c>
      <c r="AF186" s="12">
        <v>2650</v>
      </c>
    </row>
    <row r="187" spans="1:32">
      <c r="A187" s="7" t="s">
        <v>465</v>
      </c>
      <c r="B187" s="7" t="s">
        <v>466</v>
      </c>
      <c r="C187" s="7" t="s">
        <v>471</v>
      </c>
      <c r="D187" s="7" t="s">
        <v>472</v>
      </c>
      <c r="E187" s="7" t="str">
        <f t="shared" si="6"/>
        <v>VOLVO EX 30 EV-TWIN MOTOR Ultra Twin Motor Performance</v>
      </c>
      <c r="F187" s="10" t="s">
        <v>35</v>
      </c>
      <c r="G187" s="7" t="s">
        <v>462</v>
      </c>
      <c r="H187" s="7" t="s">
        <v>36</v>
      </c>
      <c r="I187" s="7">
        <v>1890000</v>
      </c>
      <c r="L187" s="7" t="s">
        <v>469</v>
      </c>
      <c r="M187" s="7" t="s">
        <v>470</v>
      </c>
      <c r="N187" s="7" t="s">
        <v>470</v>
      </c>
      <c r="Q187" s="7">
        <v>69</v>
      </c>
      <c r="R187" s="7">
        <v>460</v>
      </c>
      <c r="S187" s="7">
        <v>520</v>
      </c>
      <c r="T187" s="7" t="s">
        <v>389</v>
      </c>
      <c r="U187" s="7" t="s">
        <v>92</v>
      </c>
      <c r="V187" s="7" t="s">
        <v>92</v>
      </c>
      <c r="W187" s="7">
        <v>16.3</v>
      </c>
      <c r="X187" s="7">
        <v>165</v>
      </c>
      <c r="Y187" s="7">
        <v>315</v>
      </c>
      <c r="Z187" s="7">
        <v>543</v>
      </c>
      <c r="AA187" s="7" t="s">
        <v>40</v>
      </c>
      <c r="AB187" s="7">
        <v>2335</v>
      </c>
      <c r="AC187" s="12">
        <v>1940</v>
      </c>
      <c r="AD187" s="12">
        <v>4233</v>
      </c>
      <c r="AE187" s="12">
        <v>1555</v>
      </c>
      <c r="AF187" s="12">
        <v>2650</v>
      </c>
    </row>
    <row r="188" spans="1:32">
      <c r="A188" s="7" t="s">
        <v>465</v>
      </c>
      <c r="B188" s="7" t="s">
        <v>466</v>
      </c>
      <c r="C188" s="7" t="s">
        <v>467</v>
      </c>
      <c r="D188" s="7" t="s">
        <v>473</v>
      </c>
      <c r="E188" s="7" t="str">
        <f t="shared" si="6"/>
        <v>VOLVO Volvo EX30 Ultra Single Motor Extended Range</v>
      </c>
      <c r="F188" s="10" t="s">
        <v>35</v>
      </c>
      <c r="G188" s="7" t="s">
        <v>462</v>
      </c>
      <c r="H188" s="7" t="s">
        <v>36</v>
      </c>
      <c r="I188" s="7">
        <v>1790000</v>
      </c>
      <c r="L188" s="7" t="s">
        <v>474</v>
      </c>
      <c r="M188" s="7" t="s">
        <v>475</v>
      </c>
      <c r="N188" s="7" t="s">
        <v>475</v>
      </c>
      <c r="Q188" s="7">
        <v>69</v>
      </c>
      <c r="R188" s="7">
        <v>476</v>
      </c>
      <c r="S188" s="7">
        <v>540</v>
      </c>
      <c r="T188" s="7" t="s">
        <v>389</v>
      </c>
      <c r="U188" s="7" t="s">
        <v>92</v>
      </c>
      <c r="V188" s="7" t="s">
        <v>92</v>
      </c>
      <c r="W188" s="7">
        <v>16.7</v>
      </c>
      <c r="X188" s="7">
        <v>165</v>
      </c>
      <c r="Y188" s="7">
        <v>200</v>
      </c>
      <c r="Z188" s="7" t="s">
        <v>476</v>
      </c>
      <c r="AA188" s="7" t="s">
        <v>40</v>
      </c>
      <c r="AB188" s="7">
        <v>2240</v>
      </c>
      <c r="AC188" s="12">
        <v>1940</v>
      </c>
      <c r="AD188" s="12">
        <v>4233</v>
      </c>
      <c r="AE188" s="12">
        <v>1555</v>
      </c>
      <c r="AF188" s="12">
        <v>2650</v>
      </c>
    </row>
    <row r="189" spans="1:32">
      <c r="A189" s="7" t="s">
        <v>465</v>
      </c>
      <c r="B189" s="7" t="s">
        <v>466</v>
      </c>
      <c r="C189" s="7" t="s">
        <v>467</v>
      </c>
      <c r="D189" s="7" t="s">
        <v>477</v>
      </c>
      <c r="E189" s="7" t="str">
        <f t="shared" si="6"/>
        <v>VOLVO Volvo EX30 Core Single Motor Extended Range</v>
      </c>
      <c r="F189" s="10" t="s">
        <v>35</v>
      </c>
      <c r="G189" s="7" t="s">
        <v>462</v>
      </c>
      <c r="H189" s="7" t="s">
        <v>36</v>
      </c>
      <c r="I189" s="7">
        <v>1590000</v>
      </c>
      <c r="L189" s="7" t="s">
        <v>478</v>
      </c>
      <c r="M189" s="7" t="s">
        <v>475</v>
      </c>
      <c r="N189" s="7" t="s">
        <v>475</v>
      </c>
      <c r="Q189" s="7">
        <v>69</v>
      </c>
      <c r="R189" s="7">
        <v>476</v>
      </c>
      <c r="S189" s="7">
        <v>520</v>
      </c>
      <c r="T189" s="7" t="s">
        <v>389</v>
      </c>
      <c r="U189" s="7" t="s">
        <v>92</v>
      </c>
      <c r="V189" s="7" t="s">
        <v>92</v>
      </c>
      <c r="W189" s="7">
        <v>17</v>
      </c>
      <c r="X189" s="7">
        <v>165</v>
      </c>
      <c r="Y189" s="7">
        <v>200</v>
      </c>
      <c r="Z189" s="7" t="s">
        <v>476</v>
      </c>
      <c r="AA189" s="7" t="s">
        <v>40</v>
      </c>
      <c r="AB189" s="7">
        <v>2240</v>
      </c>
      <c r="AC189" s="12">
        <v>1940</v>
      </c>
      <c r="AD189" s="12">
        <v>4233</v>
      </c>
      <c r="AE189" s="12">
        <v>1555</v>
      </c>
      <c r="AF189" s="12">
        <v>2650</v>
      </c>
    </row>
    <row r="190" spans="1:32">
      <c r="A190" s="7" t="s">
        <v>465</v>
      </c>
      <c r="B190" s="7" t="s">
        <v>479</v>
      </c>
      <c r="C190" s="5" t="s">
        <v>480</v>
      </c>
      <c r="D190" s="7" t="s">
        <v>481</v>
      </c>
      <c r="E190" s="7" t="str">
        <f t="shared" si="6"/>
        <v>VOLVO EX40 TWIN MOTOR Twin Motor Black Edition </v>
      </c>
      <c r="F190" s="10" t="s">
        <v>35</v>
      </c>
      <c r="G190" s="7" t="s">
        <v>193</v>
      </c>
      <c r="H190" s="7" t="s">
        <v>36</v>
      </c>
      <c r="I190" s="7">
        <v>2390000</v>
      </c>
      <c r="L190" s="7" t="s">
        <v>469</v>
      </c>
      <c r="M190" s="7" t="s">
        <v>470</v>
      </c>
      <c r="N190" s="7" t="s">
        <v>470</v>
      </c>
      <c r="Q190" s="7">
        <v>79</v>
      </c>
      <c r="R190" s="7">
        <v>537</v>
      </c>
      <c r="S190" s="7">
        <v>645</v>
      </c>
      <c r="T190" s="7" t="s">
        <v>389</v>
      </c>
      <c r="U190" s="7" t="s">
        <v>92</v>
      </c>
      <c r="V190" s="7" t="s">
        <v>92</v>
      </c>
      <c r="W190" s="7">
        <v>16.3</v>
      </c>
      <c r="X190" s="7">
        <v>165</v>
      </c>
      <c r="Y190" s="7">
        <v>300</v>
      </c>
      <c r="Z190" s="7">
        <v>670</v>
      </c>
      <c r="AA190" s="7" t="s">
        <v>40</v>
      </c>
      <c r="AB190" s="7">
        <v>2620</v>
      </c>
      <c r="AC190" s="12">
        <v>1873</v>
      </c>
      <c r="AD190" s="12">
        <v>4440</v>
      </c>
      <c r="AE190" s="12">
        <v>1591</v>
      </c>
      <c r="AF190" s="12">
        <v>2702</v>
      </c>
    </row>
    <row r="191" spans="1:32">
      <c r="A191" s="7" t="s">
        <v>465</v>
      </c>
      <c r="B191" s="7" t="s">
        <v>479</v>
      </c>
      <c r="C191" s="7" t="s">
        <v>482</v>
      </c>
      <c r="D191" s="7" t="s">
        <v>483</v>
      </c>
      <c r="E191" s="7" t="str">
        <f t="shared" si="6"/>
        <v>VOLVO EX 40 SINGLE MOTOR Ultra – Single Motor</v>
      </c>
      <c r="F191" s="10" t="s">
        <v>35</v>
      </c>
      <c r="G191" s="7" t="s">
        <v>193</v>
      </c>
      <c r="H191" s="7" t="s">
        <v>36</v>
      </c>
      <c r="I191" s="7">
        <v>1990000</v>
      </c>
      <c r="L191" s="7" t="s">
        <v>484</v>
      </c>
      <c r="M191" s="7" t="s">
        <v>91</v>
      </c>
      <c r="N191" s="7" t="s">
        <v>91</v>
      </c>
      <c r="Q191" s="7">
        <v>69</v>
      </c>
      <c r="R191" s="7">
        <v>475</v>
      </c>
      <c r="S191" s="7">
        <v>590</v>
      </c>
      <c r="T191" s="7" t="s">
        <v>389</v>
      </c>
      <c r="U191" s="7" t="s">
        <v>92</v>
      </c>
      <c r="V191" s="7" t="s">
        <v>92</v>
      </c>
      <c r="W191" s="7">
        <v>14.5</v>
      </c>
      <c r="X191" s="7">
        <v>181</v>
      </c>
      <c r="Y191" s="7">
        <v>175</v>
      </c>
      <c r="Z191" s="7" t="s">
        <v>485</v>
      </c>
      <c r="AA191" s="7" t="s">
        <v>40</v>
      </c>
      <c r="AB191" s="7">
        <v>2470</v>
      </c>
      <c r="AC191" s="12">
        <v>1873</v>
      </c>
      <c r="AD191" s="12">
        <v>4440</v>
      </c>
      <c r="AE191" s="12">
        <v>1591</v>
      </c>
      <c r="AF191" s="12">
        <v>2702</v>
      </c>
    </row>
    <row r="192" spans="1:32">
      <c r="A192" s="7" t="s">
        <v>465</v>
      </c>
      <c r="B192" s="7" t="s">
        <v>486</v>
      </c>
      <c r="C192" s="7" t="s">
        <v>487</v>
      </c>
      <c r="D192" s="7" t="s">
        <v>488</v>
      </c>
      <c r="E192" s="7" t="str">
        <f t="shared" si="6"/>
        <v>VOLVO EC40 Ultra – Twin Motor Ultra – Twin Motor</v>
      </c>
      <c r="F192" s="10" t="s">
        <v>35</v>
      </c>
      <c r="G192" s="7" t="s">
        <v>489</v>
      </c>
      <c r="H192" s="7" t="s">
        <v>36</v>
      </c>
      <c r="I192" s="7">
        <v>2790000</v>
      </c>
      <c r="L192" s="7" t="s">
        <v>490</v>
      </c>
      <c r="M192" s="7" t="s">
        <v>91</v>
      </c>
      <c r="N192" s="7" t="s">
        <v>91</v>
      </c>
      <c r="Q192" s="7" t="s">
        <v>491</v>
      </c>
      <c r="R192" s="7">
        <v>530</v>
      </c>
      <c r="S192" s="7">
        <v>650</v>
      </c>
      <c r="T192" s="7" t="s">
        <v>389</v>
      </c>
      <c r="U192" s="7" t="s">
        <v>92</v>
      </c>
      <c r="V192" s="7" t="s">
        <v>92</v>
      </c>
      <c r="W192" s="7">
        <v>17.100000000000001</v>
      </c>
      <c r="X192" s="7">
        <v>177</v>
      </c>
      <c r="Y192" s="7">
        <v>300</v>
      </c>
      <c r="Z192" s="7" t="s">
        <v>492</v>
      </c>
      <c r="AA192" s="7" t="s">
        <v>40</v>
      </c>
      <c r="AB192" s="7">
        <v>2620</v>
      </c>
      <c r="AC192" s="12">
        <v>1873</v>
      </c>
      <c r="AD192" s="12">
        <v>4440</v>
      </c>
      <c r="AE192" s="12">
        <v>1591</v>
      </c>
      <c r="AF192" s="12">
        <v>2702</v>
      </c>
    </row>
    <row r="193" spans="1:32">
      <c r="A193" s="7" t="s">
        <v>465</v>
      </c>
      <c r="B193" s="7" t="s">
        <v>486</v>
      </c>
      <c r="C193" s="7" t="s">
        <v>493</v>
      </c>
      <c r="D193" s="7" t="s">
        <v>494</v>
      </c>
      <c r="E193" s="7" t="str">
        <f t="shared" si="6"/>
        <v>VOLVO Volvo EC40  Ultra - Twin Motor Black Edition</v>
      </c>
      <c r="F193" s="10" t="s">
        <v>35</v>
      </c>
      <c r="G193" s="7" t="s">
        <v>489</v>
      </c>
      <c r="H193" s="7" t="s">
        <v>36</v>
      </c>
      <c r="I193" s="7">
        <v>2490000</v>
      </c>
      <c r="L193" s="7" t="s">
        <v>484</v>
      </c>
      <c r="M193" s="7" t="s">
        <v>91</v>
      </c>
      <c r="N193" s="7" t="s">
        <v>91</v>
      </c>
      <c r="Q193" s="7">
        <v>82</v>
      </c>
      <c r="R193" s="7">
        <v>530</v>
      </c>
      <c r="S193" s="7">
        <v>650</v>
      </c>
      <c r="T193" s="7" t="s">
        <v>389</v>
      </c>
      <c r="U193" s="7" t="s">
        <v>92</v>
      </c>
      <c r="V193" s="7" t="s">
        <v>92</v>
      </c>
      <c r="W193" s="7">
        <v>17.100000000000001</v>
      </c>
      <c r="X193" s="7">
        <v>177</v>
      </c>
      <c r="Y193" s="7">
        <v>300</v>
      </c>
      <c r="Z193" s="7">
        <v>670</v>
      </c>
      <c r="AA193" s="7" t="s">
        <v>40</v>
      </c>
      <c r="AB193" s="7">
        <v>2620</v>
      </c>
      <c r="AC193" s="12">
        <v>1873</v>
      </c>
      <c r="AD193" s="12">
        <v>4440</v>
      </c>
      <c r="AE193" s="12">
        <v>1591</v>
      </c>
      <c r="AF193" s="12">
        <v>2702</v>
      </c>
    </row>
    <row r="194" spans="1:32">
      <c r="A194" s="7" t="s">
        <v>465</v>
      </c>
      <c r="B194" s="7" t="s">
        <v>486</v>
      </c>
      <c r="C194" s="7" t="s">
        <v>495</v>
      </c>
      <c r="D194" s="7" t="s">
        <v>483</v>
      </c>
      <c r="E194" s="7" t="str">
        <f t="shared" si="6"/>
        <v>VOLVO EC40 Ultra – Single Motor Ultra – Single Motor</v>
      </c>
      <c r="F194" s="10" t="s">
        <v>35</v>
      </c>
      <c r="G194" s="7" t="s">
        <v>489</v>
      </c>
      <c r="H194" s="7" t="s">
        <v>36</v>
      </c>
      <c r="I194" s="7">
        <v>2090000</v>
      </c>
      <c r="L194" s="7" t="s">
        <v>484</v>
      </c>
      <c r="M194" s="7" t="s">
        <v>91</v>
      </c>
      <c r="N194" s="7" t="s">
        <v>91</v>
      </c>
      <c r="Q194" s="7">
        <v>69</v>
      </c>
      <c r="R194" s="7">
        <v>485</v>
      </c>
      <c r="S194" s="7">
        <v>590</v>
      </c>
      <c r="T194" s="7" t="s">
        <v>389</v>
      </c>
      <c r="U194" s="7" t="s">
        <v>92</v>
      </c>
      <c r="V194" s="7" t="s">
        <v>92</v>
      </c>
      <c r="W194" s="7">
        <v>14</v>
      </c>
      <c r="X194" s="7">
        <v>181</v>
      </c>
      <c r="Y194" s="7">
        <v>175</v>
      </c>
      <c r="Z194" s="7">
        <v>420</v>
      </c>
      <c r="AA194" s="7" t="s">
        <v>40</v>
      </c>
      <c r="AB194" s="7">
        <v>2460</v>
      </c>
      <c r="AC194" s="12">
        <v>1873</v>
      </c>
      <c r="AD194" s="12">
        <v>4440</v>
      </c>
      <c r="AE194" s="12">
        <v>1591</v>
      </c>
      <c r="AF194" s="12">
        <v>2702</v>
      </c>
    </row>
    <row r="195" spans="1:32">
      <c r="A195" s="7" t="s">
        <v>465</v>
      </c>
      <c r="B195" s="7" t="s">
        <v>496</v>
      </c>
      <c r="C195" s="7" t="s">
        <v>497</v>
      </c>
      <c r="D195" s="7" t="s">
        <v>473</v>
      </c>
      <c r="E195" s="7" t="str">
        <f t="shared" ref="E195:E258" si="7">A195&amp;" "&amp;C195&amp;" "&amp;D195</f>
        <v>VOLVO ES 90 EV-SINGLE MOTOR Ultra Single Motor Extended Range</v>
      </c>
      <c r="F195" s="10" t="s">
        <v>53</v>
      </c>
      <c r="G195" s="7" t="s">
        <v>498</v>
      </c>
      <c r="H195" s="7" t="s">
        <v>36</v>
      </c>
      <c r="I195" s="7">
        <v>2990000</v>
      </c>
      <c r="L195" s="7" t="s">
        <v>499</v>
      </c>
      <c r="M195" s="7" t="s">
        <v>91</v>
      </c>
      <c r="N195" s="7" t="s">
        <v>91</v>
      </c>
      <c r="Q195" s="7">
        <v>92</v>
      </c>
      <c r="R195" s="7">
        <v>636</v>
      </c>
      <c r="S195" s="7">
        <v>755</v>
      </c>
      <c r="T195" s="7" t="s">
        <v>389</v>
      </c>
      <c r="U195" s="7" t="s">
        <v>92</v>
      </c>
      <c r="V195" s="7" t="s">
        <v>92</v>
      </c>
      <c r="W195" s="7">
        <v>18.5</v>
      </c>
      <c r="X195" s="7">
        <v>180</v>
      </c>
      <c r="Y195" s="7">
        <v>245</v>
      </c>
      <c r="Z195" s="7">
        <v>480</v>
      </c>
      <c r="AA195" s="7" t="s">
        <v>40</v>
      </c>
      <c r="AB195" s="7">
        <v>2900</v>
      </c>
      <c r="AC195" s="12">
        <v>1942</v>
      </c>
      <c r="AD195" s="12">
        <v>5000</v>
      </c>
      <c r="AE195" s="12">
        <v>1547</v>
      </c>
      <c r="AF195" s="12">
        <v>3102</v>
      </c>
    </row>
    <row r="196" spans="1:32">
      <c r="A196" s="7" t="s">
        <v>465</v>
      </c>
      <c r="B196" s="7" t="s">
        <v>500</v>
      </c>
      <c r="C196" s="7" t="s">
        <v>501</v>
      </c>
      <c r="D196" s="7" t="s">
        <v>502</v>
      </c>
      <c r="E196" s="7" t="str">
        <f t="shared" si="7"/>
        <v>VOLVO Volvo EX90 Ultra – Twin Performance 7 Seats</v>
      </c>
      <c r="F196" s="10" t="s">
        <v>35</v>
      </c>
      <c r="G196" s="7" t="s">
        <v>458</v>
      </c>
      <c r="H196" s="7" t="s">
        <v>36</v>
      </c>
      <c r="I196" s="7">
        <v>4890000</v>
      </c>
      <c r="L196" s="7" t="s">
        <v>503</v>
      </c>
      <c r="M196" s="7" t="s">
        <v>91</v>
      </c>
      <c r="N196" s="7" t="s">
        <v>91</v>
      </c>
      <c r="Q196" s="7">
        <v>111</v>
      </c>
      <c r="R196" s="7">
        <v>590</v>
      </c>
      <c r="S196" s="7">
        <v>745</v>
      </c>
      <c r="T196" s="7" t="s">
        <v>389</v>
      </c>
      <c r="U196" s="7" t="s">
        <v>92</v>
      </c>
      <c r="V196" s="7" t="s">
        <v>92</v>
      </c>
      <c r="W196" s="7">
        <v>21.1</v>
      </c>
      <c r="X196" s="7">
        <v>208</v>
      </c>
      <c r="Y196" s="7">
        <v>380</v>
      </c>
      <c r="Z196" s="7" t="s">
        <v>504</v>
      </c>
      <c r="AA196" s="7" t="s">
        <v>40</v>
      </c>
      <c r="AB196" s="7">
        <v>3340</v>
      </c>
      <c r="AC196" s="12">
        <v>1964</v>
      </c>
      <c r="AD196" s="12">
        <v>5037</v>
      </c>
      <c r="AE196" s="12">
        <v>1744</v>
      </c>
      <c r="AF196" s="12">
        <v>2985</v>
      </c>
    </row>
    <row r="197" spans="1:32">
      <c r="A197" s="7" t="s">
        <v>465</v>
      </c>
      <c r="B197" s="7" t="s">
        <v>500</v>
      </c>
      <c r="C197" s="7" t="s">
        <v>501</v>
      </c>
      <c r="D197" s="7" t="s">
        <v>505</v>
      </c>
      <c r="E197" s="7" t="str">
        <f t="shared" si="7"/>
        <v>VOLVO Volvo EX90 Ultra – Twin Performance 6 Seats</v>
      </c>
      <c r="F197" s="10" t="s">
        <v>35</v>
      </c>
      <c r="G197" s="7" t="s">
        <v>458</v>
      </c>
      <c r="H197" s="7" t="s">
        <v>36</v>
      </c>
      <c r="I197" s="7">
        <v>4890000</v>
      </c>
      <c r="L197" s="7" t="s">
        <v>503</v>
      </c>
      <c r="M197" s="7" t="s">
        <v>91</v>
      </c>
      <c r="N197" s="7" t="s">
        <v>91</v>
      </c>
      <c r="Q197" s="7">
        <v>111</v>
      </c>
      <c r="R197" s="7">
        <v>590</v>
      </c>
      <c r="S197" s="7">
        <v>745</v>
      </c>
      <c r="T197" s="7" t="s">
        <v>389</v>
      </c>
      <c r="U197" s="7" t="s">
        <v>92</v>
      </c>
      <c r="V197" s="7" t="s">
        <v>92</v>
      </c>
      <c r="W197" s="7">
        <v>21</v>
      </c>
      <c r="X197" s="7">
        <v>211</v>
      </c>
      <c r="Y197" s="7">
        <v>380</v>
      </c>
      <c r="Z197" s="7" t="s">
        <v>504</v>
      </c>
      <c r="AA197" s="7" t="s">
        <v>40</v>
      </c>
      <c r="AB197" s="7">
        <v>3340</v>
      </c>
      <c r="AC197" s="12">
        <v>1964</v>
      </c>
      <c r="AD197" s="12">
        <v>5037</v>
      </c>
      <c r="AE197" s="12">
        <v>1744</v>
      </c>
      <c r="AF197" s="12">
        <v>2985</v>
      </c>
    </row>
    <row r="198" spans="1:32">
      <c r="A198" s="7" t="s">
        <v>465</v>
      </c>
      <c r="B198" s="7" t="s">
        <v>500</v>
      </c>
      <c r="C198" s="7" t="s">
        <v>506</v>
      </c>
      <c r="D198" s="7" t="s">
        <v>507</v>
      </c>
      <c r="E198" s="7" t="str">
        <f t="shared" si="7"/>
        <v>VOLVO EX 90 EV-TWIN MOTOR Plus - Twin Motor 7 Seats</v>
      </c>
      <c r="F198" s="10" t="s">
        <v>35</v>
      </c>
      <c r="G198" s="7" t="s">
        <v>458</v>
      </c>
      <c r="H198" s="7" t="s">
        <v>36</v>
      </c>
      <c r="I198" s="7" t="s">
        <v>508</v>
      </c>
      <c r="L198" s="7" t="s">
        <v>503</v>
      </c>
      <c r="M198" s="7" t="s">
        <v>91</v>
      </c>
      <c r="N198" s="7" t="s">
        <v>91</v>
      </c>
      <c r="Q198" s="7">
        <v>111</v>
      </c>
      <c r="R198" s="7">
        <v>590</v>
      </c>
      <c r="S198" s="7">
        <v>745</v>
      </c>
      <c r="T198" s="7" t="s">
        <v>389</v>
      </c>
      <c r="U198" s="7" t="s">
        <v>92</v>
      </c>
      <c r="V198" s="7" t="s">
        <v>92</v>
      </c>
      <c r="W198" s="7">
        <v>20.399999999999999</v>
      </c>
      <c r="X198" s="7">
        <v>215</v>
      </c>
      <c r="Y198" s="7">
        <v>300</v>
      </c>
      <c r="Z198" s="7" t="s">
        <v>509</v>
      </c>
      <c r="AA198" s="7" t="s">
        <v>40</v>
      </c>
      <c r="AB198" s="7">
        <v>3390</v>
      </c>
      <c r="AC198" s="12">
        <v>1964</v>
      </c>
      <c r="AD198" s="12">
        <v>5037</v>
      </c>
      <c r="AE198" s="12">
        <v>1744</v>
      </c>
      <c r="AF198" s="12">
        <v>2985</v>
      </c>
    </row>
    <row r="199" spans="1:32">
      <c r="A199" s="7" t="s">
        <v>510</v>
      </c>
      <c r="B199" s="7" t="s">
        <v>511</v>
      </c>
      <c r="C199" s="7" t="s">
        <v>511</v>
      </c>
      <c r="D199" s="7" t="s">
        <v>512</v>
      </c>
      <c r="E199" s="7" t="str">
        <f t="shared" si="7"/>
        <v>B.M.W. IX XDRIVE 40 xDrive 40</v>
      </c>
      <c r="F199" s="10" t="s">
        <v>35</v>
      </c>
      <c r="G199" s="7" t="s">
        <v>35</v>
      </c>
      <c r="H199" s="7" t="s">
        <v>36</v>
      </c>
      <c r="I199" s="11">
        <v>4999000</v>
      </c>
      <c r="L199" s="7" t="s">
        <v>513</v>
      </c>
      <c r="M199" s="7" t="s">
        <v>91</v>
      </c>
      <c r="N199" s="7" t="s">
        <v>514</v>
      </c>
      <c r="Q199" s="7">
        <v>76.599999999999994</v>
      </c>
      <c r="R199" s="7" t="s">
        <v>515</v>
      </c>
      <c r="S199" s="7">
        <v>420</v>
      </c>
      <c r="T199" s="7" t="s">
        <v>389</v>
      </c>
      <c r="U199" s="7" t="s">
        <v>92</v>
      </c>
      <c r="V199" s="7" t="s">
        <v>92</v>
      </c>
      <c r="W199" s="7">
        <v>19.3</v>
      </c>
      <c r="X199" s="7">
        <v>202</v>
      </c>
      <c r="Y199" s="7">
        <v>240</v>
      </c>
      <c r="Z199" s="7">
        <v>630</v>
      </c>
      <c r="AA199" s="7" t="s">
        <v>40</v>
      </c>
      <c r="AB199" s="11">
        <v>3010</v>
      </c>
      <c r="AC199" s="12">
        <v>1967</v>
      </c>
      <c r="AD199" s="12">
        <v>4953</v>
      </c>
      <c r="AE199" s="12">
        <v>1695</v>
      </c>
      <c r="AF199" s="12">
        <v>3000</v>
      </c>
    </row>
    <row r="200" spans="1:32">
      <c r="A200" s="7" t="s">
        <v>510</v>
      </c>
      <c r="B200" s="7" t="s">
        <v>516</v>
      </c>
      <c r="C200" s="7" t="s">
        <v>516</v>
      </c>
      <c r="D200" s="7" t="s">
        <v>517</v>
      </c>
      <c r="E200" s="7" t="str">
        <f t="shared" si="7"/>
        <v>B.M.W. IX XDRIVE50 xDrive 50 Sport</v>
      </c>
      <c r="F200" s="10" t="s">
        <v>35</v>
      </c>
      <c r="G200" s="7" t="s">
        <v>35</v>
      </c>
      <c r="H200" s="7" t="s">
        <v>36</v>
      </c>
      <c r="I200" s="11">
        <v>5999000</v>
      </c>
      <c r="L200" s="7" t="s">
        <v>518</v>
      </c>
      <c r="M200" s="7" t="s">
        <v>519</v>
      </c>
      <c r="N200" s="7" t="s">
        <v>514</v>
      </c>
      <c r="Q200" s="7">
        <v>111.5</v>
      </c>
      <c r="R200" s="7" t="s">
        <v>520</v>
      </c>
      <c r="S200" s="7" t="s">
        <v>521</v>
      </c>
      <c r="T200" s="7" t="s">
        <v>389</v>
      </c>
      <c r="U200" s="7" t="s">
        <v>92</v>
      </c>
      <c r="V200" s="7" t="s">
        <v>92</v>
      </c>
      <c r="W200" s="7">
        <v>19.8</v>
      </c>
      <c r="X200" s="7">
        <v>202</v>
      </c>
      <c r="Y200" s="7">
        <v>385</v>
      </c>
      <c r="Z200" s="7">
        <v>765</v>
      </c>
      <c r="AA200" s="7" t="s">
        <v>40</v>
      </c>
      <c r="AB200" s="11">
        <v>3145</v>
      </c>
      <c r="AC200" s="12">
        <v>1967</v>
      </c>
      <c r="AD200" s="12">
        <v>4953</v>
      </c>
      <c r="AE200" s="12">
        <v>1695</v>
      </c>
      <c r="AF200" s="12">
        <v>3000</v>
      </c>
    </row>
    <row r="201" spans="1:32">
      <c r="A201" s="7" t="s">
        <v>510</v>
      </c>
      <c r="B201" s="7" t="s">
        <v>522</v>
      </c>
      <c r="C201" s="7" t="s">
        <v>522</v>
      </c>
      <c r="D201" s="7" t="s">
        <v>523</v>
      </c>
      <c r="E201" s="7" t="str">
        <f t="shared" si="7"/>
        <v>B.M.W. IX1 L eDrive20L M Sport</v>
      </c>
      <c r="F201" s="10" t="s">
        <v>35</v>
      </c>
      <c r="G201" s="7" t="s">
        <v>453</v>
      </c>
      <c r="H201" s="7" t="s">
        <v>36</v>
      </c>
      <c r="I201" s="7" t="s">
        <v>524</v>
      </c>
      <c r="L201" s="7" t="s">
        <v>525</v>
      </c>
      <c r="M201" s="7" t="s">
        <v>91</v>
      </c>
      <c r="N201" s="7" t="s">
        <v>91</v>
      </c>
      <c r="Q201" s="7">
        <v>66.5</v>
      </c>
      <c r="R201" s="7" t="s">
        <v>526</v>
      </c>
      <c r="S201" s="7">
        <v>464</v>
      </c>
      <c r="T201" s="7" t="s">
        <v>389</v>
      </c>
      <c r="U201" s="7" t="s">
        <v>92</v>
      </c>
      <c r="V201" s="7" t="s">
        <v>92</v>
      </c>
      <c r="W201" s="7">
        <v>16.8</v>
      </c>
      <c r="X201" s="7">
        <v>167</v>
      </c>
      <c r="Y201" s="7">
        <v>150</v>
      </c>
      <c r="Z201" s="7" t="s">
        <v>527</v>
      </c>
      <c r="AA201" s="7" t="s">
        <v>40</v>
      </c>
      <c r="AB201" s="7">
        <v>2500</v>
      </c>
      <c r="AC201" s="12">
        <v>1845</v>
      </c>
      <c r="AD201" s="12">
        <v>4500</v>
      </c>
      <c r="AE201" s="12">
        <v>1642</v>
      </c>
      <c r="AF201" s="12">
        <v>2692</v>
      </c>
    </row>
    <row r="202" spans="1:32">
      <c r="A202" s="7" t="s">
        <v>510</v>
      </c>
      <c r="B202" s="7" t="s">
        <v>528</v>
      </c>
      <c r="C202" s="7" t="s">
        <v>528</v>
      </c>
      <c r="D202" s="7" t="s">
        <v>529</v>
      </c>
      <c r="E202" s="7" t="str">
        <f t="shared" si="7"/>
        <v>B.M.W. IX2 xDrive30 M Sport</v>
      </c>
      <c r="F202" s="10" t="s">
        <v>35</v>
      </c>
      <c r="G202" s="7" t="s">
        <v>530</v>
      </c>
      <c r="H202" s="7" t="s">
        <v>36</v>
      </c>
      <c r="I202" s="7">
        <v>3399000</v>
      </c>
      <c r="L202" s="7" t="s">
        <v>525</v>
      </c>
      <c r="M202" s="7" t="s">
        <v>91</v>
      </c>
      <c r="N202" s="7" t="s">
        <v>91</v>
      </c>
      <c r="Q202" s="7">
        <v>66.5</v>
      </c>
      <c r="R202" s="7" t="s">
        <v>531</v>
      </c>
      <c r="S202" s="7">
        <v>395</v>
      </c>
      <c r="T202" s="7" t="s">
        <v>389</v>
      </c>
      <c r="U202" s="7" t="s">
        <v>92</v>
      </c>
      <c r="V202" s="7" t="s">
        <v>92</v>
      </c>
      <c r="W202" s="7">
        <v>16.3</v>
      </c>
      <c r="X202" s="7">
        <v>167</v>
      </c>
      <c r="Y202" s="7">
        <v>230</v>
      </c>
      <c r="Z202" s="7">
        <v>494</v>
      </c>
      <c r="AA202" s="7" t="s">
        <v>40</v>
      </c>
      <c r="AB202" s="7">
        <v>2605</v>
      </c>
      <c r="AC202" s="12">
        <v>1845</v>
      </c>
      <c r="AD202" s="12">
        <v>4554</v>
      </c>
      <c r="AE202" s="12">
        <v>1590</v>
      </c>
      <c r="AF202" s="12">
        <v>2692</v>
      </c>
    </row>
    <row r="203" spans="1:32">
      <c r="A203" s="7" t="s">
        <v>510</v>
      </c>
      <c r="B203" s="5" t="s">
        <v>532</v>
      </c>
      <c r="C203" s="5" t="s">
        <v>533</v>
      </c>
      <c r="D203" s="7" t="s">
        <v>534</v>
      </c>
      <c r="E203" s="7" t="str">
        <f t="shared" si="7"/>
        <v>B.M.W. I3 EV xDrive Sedan</v>
      </c>
      <c r="F203" s="10" t="s">
        <v>53</v>
      </c>
      <c r="G203" s="7" t="s">
        <v>53</v>
      </c>
      <c r="H203" s="7" t="s">
        <v>36</v>
      </c>
      <c r="I203" s="7" t="s">
        <v>347</v>
      </c>
      <c r="L203" s="7" t="s">
        <v>535</v>
      </c>
      <c r="M203" s="7" t="s">
        <v>91</v>
      </c>
      <c r="N203" s="7" t="s">
        <v>91</v>
      </c>
      <c r="Q203" s="7">
        <v>108.7</v>
      </c>
      <c r="R203" s="24">
        <v>900</v>
      </c>
      <c r="S203" s="5" t="s">
        <v>536</v>
      </c>
      <c r="T203" s="7" t="s">
        <v>389</v>
      </c>
      <c r="U203" s="7" t="s">
        <v>92</v>
      </c>
      <c r="V203" s="7" t="s">
        <v>92</v>
      </c>
      <c r="W203" s="7">
        <v>13</v>
      </c>
      <c r="X203" s="7">
        <v>140</v>
      </c>
      <c r="Y203" s="7" t="s">
        <v>537</v>
      </c>
      <c r="Z203" s="7">
        <v>645</v>
      </c>
      <c r="AA203" s="7" t="s">
        <v>40</v>
      </c>
      <c r="AB203" s="11">
        <v>2360</v>
      </c>
      <c r="AC203" s="12">
        <v>1858</v>
      </c>
      <c r="AD203" s="12">
        <v>4872</v>
      </c>
      <c r="AE203" s="12">
        <v>1481</v>
      </c>
      <c r="AF203" s="12">
        <v>2966</v>
      </c>
    </row>
    <row r="204" spans="1:32">
      <c r="A204" s="7" t="s">
        <v>510</v>
      </c>
      <c r="B204" s="5" t="s">
        <v>538</v>
      </c>
      <c r="C204" s="5" t="s">
        <v>538</v>
      </c>
      <c r="D204" s="7" t="s">
        <v>539</v>
      </c>
      <c r="E204" s="7" t="str">
        <f t="shared" si="7"/>
        <v>B.M.W. IX3  50 xDrive M Sport</v>
      </c>
      <c r="F204" s="10" t="s">
        <v>35</v>
      </c>
      <c r="G204" s="7" t="s">
        <v>453</v>
      </c>
      <c r="H204" s="7" t="s">
        <v>36</v>
      </c>
      <c r="I204" s="7">
        <v>3599000</v>
      </c>
      <c r="L204" s="7" t="s">
        <v>540</v>
      </c>
      <c r="M204" s="7" t="s">
        <v>91</v>
      </c>
      <c r="N204" s="7" t="s">
        <v>91</v>
      </c>
      <c r="Q204" s="7">
        <v>113.4</v>
      </c>
      <c r="R204" s="7" t="s">
        <v>541</v>
      </c>
      <c r="S204" s="7" t="s">
        <v>542</v>
      </c>
      <c r="T204" s="7" t="s">
        <v>389</v>
      </c>
      <c r="U204" s="7" t="s">
        <v>92</v>
      </c>
      <c r="V204" s="7" t="s">
        <v>372</v>
      </c>
      <c r="W204" s="7">
        <v>15.1</v>
      </c>
      <c r="X204" s="7">
        <v>176</v>
      </c>
      <c r="Y204" s="7">
        <v>345</v>
      </c>
      <c r="Z204" s="7">
        <v>645</v>
      </c>
      <c r="AA204" s="7" t="s">
        <v>40</v>
      </c>
      <c r="AB204" s="7">
        <v>2825</v>
      </c>
      <c r="AC204" s="12">
        <v>1891</v>
      </c>
      <c r="AD204" s="12">
        <v>4734</v>
      </c>
      <c r="AE204" s="12">
        <v>1668</v>
      </c>
      <c r="AF204" s="12">
        <v>2864</v>
      </c>
    </row>
    <row r="205" spans="1:32">
      <c r="A205" s="7" t="s">
        <v>510</v>
      </c>
      <c r="B205" s="7" t="s">
        <v>543</v>
      </c>
      <c r="C205" s="7" t="s">
        <v>544</v>
      </c>
      <c r="D205" s="7" t="s">
        <v>545</v>
      </c>
      <c r="E205" s="7" t="str">
        <f t="shared" si="7"/>
        <v>B.M.W. IX EV xDrive45 M Sport</v>
      </c>
      <c r="F205" s="10" t="s">
        <v>35</v>
      </c>
      <c r="G205" s="7" t="s">
        <v>546</v>
      </c>
      <c r="H205" s="7" t="s">
        <v>36</v>
      </c>
      <c r="I205" s="7">
        <v>5999000</v>
      </c>
      <c r="L205" s="7" t="s">
        <v>547</v>
      </c>
      <c r="M205" s="7" t="s">
        <v>91</v>
      </c>
      <c r="N205" s="7" t="s">
        <v>91</v>
      </c>
      <c r="Q205" s="7">
        <v>100.4</v>
      </c>
      <c r="R205" s="7" t="s">
        <v>548</v>
      </c>
      <c r="S205" s="7">
        <v>616</v>
      </c>
      <c r="T205" s="7" t="s">
        <v>389</v>
      </c>
      <c r="U205" s="7" t="s">
        <v>92</v>
      </c>
      <c r="V205" s="7" t="s">
        <v>92</v>
      </c>
      <c r="W205" s="7">
        <v>21.8</v>
      </c>
      <c r="X205" s="7">
        <v>202</v>
      </c>
      <c r="Y205" s="7">
        <v>300</v>
      </c>
      <c r="Z205" s="7">
        <v>700</v>
      </c>
      <c r="AA205" s="7" t="s">
        <v>40</v>
      </c>
      <c r="AB205" s="7">
        <v>3100</v>
      </c>
      <c r="AC205" s="12">
        <v>1967</v>
      </c>
      <c r="AD205" s="12">
        <v>4953</v>
      </c>
      <c r="AE205" s="12">
        <v>1695</v>
      </c>
      <c r="AF205" s="12">
        <v>3000</v>
      </c>
    </row>
    <row r="206" spans="1:32">
      <c r="A206" s="7" t="s">
        <v>510</v>
      </c>
      <c r="B206" s="7" t="s">
        <v>549</v>
      </c>
      <c r="C206" s="7" t="s">
        <v>550</v>
      </c>
      <c r="D206" s="7" t="s">
        <v>551</v>
      </c>
      <c r="E206" s="7" t="str">
        <f t="shared" si="7"/>
        <v>B.M.W. I4 EV eDrive35 M Sport</v>
      </c>
      <c r="F206" s="25" t="s">
        <v>552</v>
      </c>
      <c r="G206" s="7" t="s">
        <v>553</v>
      </c>
      <c r="H206" s="7" t="s">
        <v>36</v>
      </c>
      <c r="I206" s="7">
        <v>3929000</v>
      </c>
      <c r="L206" s="7" t="s">
        <v>554</v>
      </c>
      <c r="M206" s="7" t="s">
        <v>91</v>
      </c>
      <c r="N206" s="7" t="s">
        <v>91</v>
      </c>
      <c r="Q206" s="7">
        <v>70.2</v>
      </c>
      <c r="R206" s="7">
        <v>483</v>
      </c>
      <c r="S206" s="7">
        <v>490</v>
      </c>
      <c r="T206" s="7" t="s">
        <v>389</v>
      </c>
      <c r="U206" s="7" t="s">
        <v>92</v>
      </c>
      <c r="V206" s="7" t="s">
        <v>92</v>
      </c>
      <c r="W206" s="7">
        <v>15.8</v>
      </c>
      <c r="X206" s="7">
        <v>125</v>
      </c>
      <c r="Y206" s="7">
        <v>210</v>
      </c>
      <c r="Z206" s="7">
        <v>400</v>
      </c>
      <c r="AA206" s="7" t="s">
        <v>40</v>
      </c>
      <c r="AB206" s="7">
        <v>2545</v>
      </c>
      <c r="AC206" s="12">
        <v>1852</v>
      </c>
      <c r="AD206" s="12">
        <v>4783</v>
      </c>
      <c r="AE206" s="12">
        <v>1448</v>
      </c>
      <c r="AF206" s="12">
        <v>2856</v>
      </c>
    </row>
    <row r="207" spans="1:32">
      <c r="A207" s="7" t="s">
        <v>510</v>
      </c>
      <c r="B207" s="7" t="s">
        <v>549</v>
      </c>
      <c r="C207" s="7" t="s">
        <v>549</v>
      </c>
      <c r="D207" s="7" t="s">
        <v>555</v>
      </c>
      <c r="E207" s="7" t="str">
        <f t="shared" si="7"/>
        <v>B.M.W. I4 eDrive40 M Sport</v>
      </c>
      <c r="F207" s="25" t="s">
        <v>552</v>
      </c>
      <c r="G207" s="7" t="s">
        <v>553</v>
      </c>
      <c r="H207" s="7" t="s">
        <v>36</v>
      </c>
      <c r="I207" s="7">
        <v>4499000</v>
      </c>
      <c r="L207" s="7" t="s">
        <v>556</v>
      </c>
      <c r="M207" s="7" t="s">
        <v>91</v>
      </c>
      <c r="N207" s="7" t="s">
        <v>91</v>
      </c>
      <c r="Q207" s="7">
        <v>83.9</v>
      </c>
      <c r="R207" s="7">
        <v>590</v>
      </c>
      <c r="S207" s="7">
        <v>580</v>
      </c>
      <c r="T207" s="7" t="s">
        <v>389</v>
      </c>
      <c r="U207" s="7" t="s">
        <v>92</v>
      </c>
      <c r="V207" s="7" t="s">
        <v>92</v>
      </c>
      <c r="W207" s="7">
        <v>19.899999999999999</v>
      </c>
      <c r="X207" s="7">
        <v>125</v>
      </c>
      <c r="Y207" s="7">
        <v>250</v>
      </c>
      <c r="Z207" s="7">
        <v>430</v>
      </c>
      <c r="AA207" s="7" t="s">
        <v>40</v>
      </c>
      <c r="AB207" s="7">
        <v>2605</v>
      </c>
      <c r="AC207" s="12">
        <v>1852</v>
      </c>
      <c r="AD207" s="12">
        <v>4783</v>
      </c>
      <c r="AE207" s="12">
        <v>1448</v>
      </c>
      <c r="AF207" s="12">
        <v>2856</v>
      </c>
    </row>
    <row r="208" spans="1:32">
      <c r="A208" s="7" t="s">
        <v>510</v>
      </c>
      <c r="B208" s="7" t="s">
        <v>549</v>
      </c>
      <c r="C208" s="7" t="s">
        <v>549</v>
      </c>
      <c r="D208" s="7" t="s">
        <v>557</v>
      </c>
      <c r="E208" s="7" t="str">
        <f t="shared" si="7"/>
        <v>B.M.W. I4 M50</v>
      </c>
      <c r="F208" s="25" t="s">
        <v>552</v>
      </c>
      <c r="G208" s="7" t="s">
        <v>553</v>
      </c>
      <c r="H208" s="7" t="s">
        <v>36</v>
      </c>
      <c r="I208" s="7">
        <v>5289000</v>
      </c>
      <c r="L208" s="7" t="s">
        <v>556</v>
      </c>
      <c r="M208" s="7" t="s">
        <v>91</v>
      </c>
      <c r="N208" s="7" t="s">
        <v>91</v>
      </c>
      <c r="Q208" s="7">
        <v>83.9</v>
      </c>
      <c r="R208" s="7">
        <v>521</v>
      </c>
      <c r="S208" s="7">
        <v>465</v>
      </c>
      <c r="T208" s="7" t="s">
        <v>389</v>
      </c>
      <c r="U208" s="7" t="s">
        <v>92</v>
      </c>
      <c r="V208" s="7" t="s">
        <v>92</v>
      </c>
      <c r="W208" s="7">
        <v>25.6</v>
      </c>
      <c r="X208" s="7">
        <v>125</v>
      </c>
      <c r="Y208" s="7">
        <v>400</v>
      </c>
      <c r="Z208" s="7">
        <v>795</v>
      </c>
      <c r="AA208" s="7" t="s">
        <v>40</v>
      </c>
      <c r="AB208" s="7">
        <v>2290</v>
      </c>
      <c r="AC208" s="12">
        <v>1852</v>
      </c>
      <c r="AD208" s="12">
        <v>4783</v>
      </c>
      <c r="AE208" s="12">
        <v>1448</v>
      </c>
      <c r="AF208" s="12">
        <v>2856</v>
      </c>
    </row>
    <row r="209" spans="1:32">
      <c r="A209" s="7" t="s">
        <v>510</v>
      </c>
      <c r="B209" s="7" t="s">
        <v>558</v>
      </c>
      <c r="C209" s="7" t="s">
        <v>558</v>
      </c>
      <c r="D209" s="7" t="s">
        <v>555</v>
      </c>
      <c r="E209" s="7" t="str">
        <f t="shared" si="7"/>
        <v>B.M.W. I5 eDrive40 M Sport</v>
      </c>
      <c r="F209" s="10" t="s">
        <v>53</v>
      </c>
      <c r="G209" s="7" t="s">
        <v>498</v>
      </c>
      <c r="H209" s="7" t="s">
        <v>36</v>
      </c>
      <c r="I209" s="7">
        <v>3499000</v>
      </c>
      <c r="L209" s="7" t="s">
        <v>559</v>
      </c>
      <c r="M209" s="7" t="s">
        <v>519</v>
      </c>
      <c r="N209" s="7" t="s">
        <v>519</v>
      </c>
      <c r="Q209" s="7">
        <v>83.9</v>
      </c>
      <c r="R209" s="7" t="s">
        <v>560</v>
      </c>
      <c r="S209" s="7">
        <v>501</v>
      </c>
      <c r="T209" s="7" t="s">
        <v>389</v>
      </c>
      <c r="U209" s="7" t="s">
        <v>92</v>
      </c>
      <c r="V209" s="7" t="s">
        <v>92</v>
      </c>
      <c r="W209" s="7">
        <v>18.899999999999999</v>
      </c>
      <c r="X209" s="7">
        <v>154</v>
      </c>
      <c r="Y209" s="7">
        <v>250</v>
      </c>
      <c r="Z209" s="7">
        <v>400</v>
      </c>
      <c r="AA209" s="7" t="s">
        <v>40</v>
      </c>
      <c r="AB209" s="7">
        <v>2730</v>
      </c>
      <c r="AC209" s="12">
        <v>1900</v>
      </c>
      <c r="AD209" s="12">
        <v>5060</v>
      </c>
      <c r="AE209" s="12">
        <v>1515</v>
      </c>
      <c r="AF209" s="12">
        <v>2995</v>
      </c>
    </row>
    <row r="210" spans="1:32">
      <c r="A210" s="7" t="s">
        <v>510</v>
      </c>
      <c r="B210" s="7" t="s">
        <v>558</v>
      </c>
      <c r="C210" s="7" t="s">
        <v>561</v>
      </c>
      <c r="D210" s="7" t="s">
        <v>562</v>
      </c>
      <c r="E210" s="7" t="str">
        <f t="shared" si="7"/>
        <v>B.M.W. I5 EV M60 xDrive</v>
      </c>
      <c r="F210" s="10" t="s">
        <v>53</v>
      </c>
      <c r="G210" s="7" t="s">
        <v>498</v>
      </c>
      <c r="H210" s="7" t="s">
        <v>36</v>
      </c>
      <c r="I210" s="7">
        <v>5599000</v>
      </c>
      <c r="L210" s="7" t="s">
        <v>559</v>
      </c>
      <c r="M210" s="7" t="s">
        <v>519</v>
      </c>
      <c r="N210" s="7" t="s">
        <v>519</v>
      </c>
      <c r="Q210" s="7">
        <v>83.9</v>
      </c>
      <c r="R210" s="7" t="s">
        <v>563</v>
      </c>
      <c r="S210" s="7">
        <v>466</v>
      </c>
      <c r="T210" s="7" t="s">
        <v>389</v>
      </c>
      <c r="U210" s="7" t="s">
        <v>92</v>
      </c>
      <c r="V210" s="7" t="s">
        <v>92</v>
      </c>
      <c r="W210" s="7">
        <v>20.6</v>
      </c>
      <c r="X210" s="7">
        <v>140</v>
      </c>
      <c r="Y210" s="7">
        <v>442</v>
      </c>
      <c r="Z210" s="7">
        <v>795</v>
      </c>
      <c r="AA210" s="7" t="s">
        <v>40</v>
      </c>
      <c r="AB210" s="7">
        <v>2895</v>
      </c>
      <c r="AC210" s="12">
        <v>1900</v>
      </c>
      <c r="AD210" s="12">
        <v>5060</v>
      </c>
      <c r="AE210" s="12">
        <v>1515</v>
      </c>
      <c r="AF210" s="12">
        <v>2995</v>
      </c>
    </row>
    <row r="211" spans="1:32">
      <c r="A211" s="7" t="s">
        <v>510</v>
      </c>
      <c r="B211" s="7" t="s">
        <v>558</v>
      </c>
      <c r="C211" s="7" t="s">
        <v>558</v>
      </c>
      <c r="D211" s="7" t="s">
        <v>564</v>
      </c>
      <c r="E211" s="7" t="str">
        <f t="shared" si="7"/>
        <v>B.M.W. I5 Touring eDrive40 M Sport </v>
      </c>
      <c r="F211" s="7" t="s">
        <v>89</v>
      </c>
      <c r="G211" s="7" t="s">
        <v>565</v>
      </c>
      <c r="H211" s="7" t="s">
        <v>36</v>
      </c>
      <c r="I211" s="7">
        <v>4899000</v>
      </c>
      <c r="L211" s="7" t="s">
        <v>559</v>
      </c>
      <c r="M211" s="7" t="s">
        <v>519</v>
      </c>
      <c r="N211" s="7" t="s">
        <v>566</v>
      </c>
      <c r="Q211" s="7">
        <v>83.9</v>
      </c>
      <c r="R211" s="7">
        <v>560</v>
      </c>
      <c r="S211" s="7">
        <v>501</v>
      </c>
      <c r="T211" s="7" t="s">
        <v>389</v>
      </c>
      <c r="U211" s="7" t="s">
        <v>92</v>
      </c>
      <c r="V211" s="7" t="s">
        <v>92</v>
      </c>
      <c r="W211" s="7">
        <v>16.7</v>
      </c>
      <c r="X211" s="7">
        <v>147</v>
      </c>
      <c r="Y211" s="7">
        <v>250</v>
      </c>
      <c r="Z211" s="7">
        <v>400</v>
      </c>
      <c r="AA211" s="7" t="s">
        <v>40</v>
      </c>
      <c r="AB211" s="7">
        <v>2790</v>
      </c>
      <c r="AC211" s="12">
        <v>1900</v>
      </c>
      <c r="AD211" s="12">
        <v>5060</v>
      </c>
      <c r="AE211" s="12">
        <v>1515</v>
      </c>
      <c r="AF211" s="12">
        <v>2995</v>
      </c>
    </row>
    <row r="212" spans="1:32">
      <c r="A212" s="7" t="s">
        <v>510</v>
      </c>
      <c r="B212" s="7" t="s">
        <v>558</v>
      </c>
      <c r="C212" s="7" t="s">
        <v>558</v>
      </c>
      <c r="D212" s="7" t="s">
        <v>567</v>
      </c>
      <c r="E212" s="7" t="str">
        <f t="shared" si="7"/>
        <v>B.M.W. I5 Touring eDrive40 M Sport PRO </v>
      </c>
      <c r="F212" s="7" t="s">
        <v>89</v>
      </c>
      <c r="G212" s="7" t="s">
        <v>565</v>
      </c>
      <c r="H212" s="7" t="s">
        <v>36</v>
      </c>
      <c r="I212" s="7">
        <v>4999000</v>
      </c>
      <c r="L212" s="7" t="s">
        <v>559</v>
      </c>
      <c r="M212" s="7" t="s">
        <v>519</v>
      </c>
      <c r="N212" s="7" t="s">
        <v>566</v>
      </c>
      <c r="Q212" s="7">
        <v>83.9</v>
      </c>
      <c r="R212" s="7">
        <v>560</v>
      </c>
      <c r="S212" s="7">
        <v>501</v>
      </c>
      <c r="T212" s="7" t="s">
        <v>389</v>
      </c>
      <c r="U212" s="7" t="s">
        <v>92</v>
      </c>
      <c r="V212" s="7" t="s">
        <v>92</v>
      </c>
      <c r="W212" s="7">
        <v>16.7</v>
      </c>
      <c r="X212" s="7">
        <v>147</v>
      </c>
      <c r="Y212" s="7">
        <v>250</v>
      </c>
      <c r="Z212" s="7">
        <v>400</v>
      </c>
      <c r="AA212" s="7" t="s">
        <v>40</v>
      </c>
      <c r="AB212" s="7">
        <v>2790</v>
      </c>
      <c r="AC212" s="12">
        <v>1900</v>
      </c>
      <c r="AD212" s="12">
        <v>5060</v>
      </c>
      <c r="AE212" s="12">
        <v>1515</v>
      </c>
      <c r="AF212" s="12">
        <v>2995</v>
      </c>
    </row>
    <row r="213" spans="1:32">
      <c r="A213" s="7" t="s">
        <v>510</v>
      </c>
      <c r="B213" s="7" t="s">
        <v>568</v>
      </c>
      <c r="C213" s="7" t="s">
        <v>568</v>
      </c>
      <c r="D213" s="7" t="s">
        <v>569</v>
      </c>
      <c r="E213" s="7" t="str">
        <f t="shared" si="7"/>
        <v>B.M.W. I7 eDrive50</v>
      </c>
      <c r="F213" s="10" t="s">
        <v>53</v>
      </c>
      <c r="G213" s="7" t="s">
        <v>570</v>
      </c>
      <c r="H213" s="7" t="s">
        <v>36</v>
      </c>
      <c r="I213" s="7">
        <v>7149000</v>
      </c>
      <c r="L213" s="7" t="s">
        <v>571</v>
      </c>
      <c r="M213" s="7" t="s">
        <v>519</v>
      </c>
      <c r="N213" s="7" t="s">
        <v>572</v>
      </c>
      <c r="Q213" s="7">
        <v>105.7</v>
      </c>
      <c r="R213" s="7">
        <v>611</v>
      </c>
      <c r="S213" s="7">
        <v>603</v>
      </c>
      <c r="T213" s="7" t="s">
        <v>389</v>
      </c>
      <c r="U213" s="7" t="s">
        <v>92</v>
      </c>
      <c r="V213" s="7" t="s">
        <v>92</v>
      </c>
      <c r="W213" s="7">
        <v>19.100000000000001</v>
      </c>
      <c r="X213" s="7">
        <v>136</v>
      </c>
      <c r="Y213" s="7">
        <v>335</v>
      </c>
      <c r="Z213" s="7">
        <v>650</v>
      </c>
      <c r="AA213" s="7" t="s">
        <v>40</v>
      </c>
      <c r="AB213" s="7">
        <v>3130</v>
      </c>
      <c r="AC213" s="12">
        <v>1950</v>
      </c>
      <c r="AD213" s="12">
        <v>5391</v>
      </c>
      <c r="AE213" s="12">
        <v>1544</v>
      </c>
      <c r="AF213" s="12">
        <v>3215</v>
      </c>
    </row>
    <row r="214" spans="1:32">
      <c r="A214" s="7" t="s">
        <v>510</v>
      </c>
      <c r="B214" s="7" t="s">
        <v>568</v>
      </c>
      <c r="C214" s="7" t="s">
        <v>568</v>
      </c>
      <c r="D214" s="7" t="s">
        <v>573</v>
      </c>
      <c r="E214" s="7" t="str">
        <f t="shared" si="7"/>
        <v>B.M.W. I7 xDrive60</v>
      </c>
      <c r="F214" s="10" t="s">
        <v>53</v>
      </c>
      <c r="G214" s="7" t="s">
        <v>570</v>
      </c>
      <c r="H214" s="7" t="s">
        <v>36</v>
      </c>
      <c r="I214" s="7">
        <v>8149000</v>
      </c>
      <c r="L214" s="7" t="s">
        <v>571</v>
      </c>
      <c r="M214" s="7" t="s">
        <v>519</v>
      </c>
      <c r="N214" s="7" t="s">
        <v>572</v>
      </c>
      <c r="Q214" s="7">
        <v>105.7</v>
      </c>
      <c r="R214" s="7" t="s">
        <v>574</v>
      </c>
      <c r="S214" s="7">
        <v>625</v>
      </c>
      <c r="T214" s="7" t="s">
        <v>389</v>
      </c>
      <c r="U214" s="7" t="s">
        <v>92</v>
      </c>
      <c r="V214" s="7" t="s">
        <v>92</v>
      </c>
      <c r="W214" s="7">
        <v>18.399999999999999</v>
      </c>
      <c r="X214" s="7">
        <v>136</v>
      </c>
      <c r="Y214" s="7">
        <v>400</v>
      </c>
      <c r="Z214" s="7">
        <v>745</v>
      </c>
      <c r="AA214" s="7" t="s">
        <v>40</v>
      </c>
      <c r="AB214" s="7">
        <v>3250</v>
      </c>
      <c r="AC214" s="12">
        <v>1950</v>
      </c>
      <c r="AD214" s="12">
        <v>5391</v>
      </c>
      <c r="AE214" s="12">
        <v>1544</v>
      </c>
      <c r="AF214" s="12">
        <v>3215</v>
      </c>
    </row>
    <row r="215" spans="1:32">
      <c r="A215" s="7" t="s">
        <v>510</v>
      </c>
      <c r="B215" s="7" t="s">
        <v>568</v>
      </c>
      <c r="C215" s="7" t="s">
        <v>575</v>
      </c>
      <c r="D215" s="7" t="s">
        <v>576</v>
      </c>
      <c r="E215" s="7" t="str">
        <f t="shared" si="7"/>
        <v>B.M.W. I7 EV M70 xDrive</v>
      </c>
      <c r="F215" s="10" t="s">
        <v>53</v>
      </c>
      <c r="G215" s="7" t="s">
        <v>570</v>
      </c>
      <c r="H215" s="7" t="s">
        <v>36</v>
      </c>
      <c r="I215" s="7">
        <v>10049000</v>
      </c>
      <c r="L215" s="7" t="s">
        <v>571</v>
      </c>
      <c r="M215" s="7" t="s">
        <v>519</v>
      </c>
      <c r="N215" s="7" t="s">
        <v>572</v>
      </c>
      <c r="Q215" s="7">
        <v>105.7</v>
      </c>
      <c r="R215" s="7">
        <v>560</v>
      </c>
      <c r="S215" s="7">
        <v>465</v>
      </c>
      <c r="T215" s="7" t="s">
        <v>389</v>
      </c>
      <c r="U215" s="7" t="s">
        <v>92</v>
      </c>
      <c r="V215" s="7" t="s">
        <v>92</v>
      </c>
      <c r="W215" s="7">
        <v>23.7</v>
      </c>
      <c r="X215" s="7">
        <v>136</v>
      </c>
      <c r="Y215" s="7">
        <v>485</v>
      </c>
      <c r="Z215" s="7">
        <v>1100</v>
      </c>
      <c r="AA215" s="7" t="s">
        <v>40</v>
      </c>
      <c r="AB215" s="7">
        <v>3250</v>
      </c>
      <c r="AC215" s="12">
        <v>1950</v>
      </c>
      <c r="AD215" s="12">
        <v>5391</v>
      </c>
      <c r="AE215" s="12">
        <v>1544</v>
      </c>
      <c r="AF215" s="12">
        <v>3215</v>
      </c>
    </row>
    <row r="216" spans="1:32">
      <c r="A216" s="7" t="s">
        <v>577</v>
      </c>
      <c r="B216" s="7" t="s">
        <v>578</v>
      </c>
      <c r="C216" s="7" t="s">
        <v>578</v>
      </c>
      <c r="D216" s="7" t="s">
        <v>579</v>
      </c>
      <c r="E216" s="7" t="str">
        <f t="shared" si="7"/>
        <v>MERCEDES BENZ EQB 250 AMG Line</v>
      </c>
      <c r="F216" s="10" t="s">
        <v>35</v>
      </c>
      <c r="G216" s="7" t="s">
        <v>453</v>
      </c>
      <c r="H216" s="7" t="s">
        <v>36</v>
      </c>
      <c r="I216" s="7">
        <v>3020000</v>
      </c>
      <c r="L216" s="7" t="s">
        <v>580</v>
      </c>
      <c r="M216" s="7" t="s">
        <v>420</v>
      </c>
      <c r="N216" s="7" t="s">
        <v>420</v>
      </c>
      <c r="Q216" s="7" t="s">
        <v>581</v>
      </c>
      <c r="R216" s="7">
        <v>460</v>
      </c>
      <c r="S216" s="7">
        <v>507</v>
      </c>
      <c r="T216" s="7" t="s">
        <v>389</v>
      </c>
      <c r="U216" s="7" t="s">
        <v>92</v>
      </c>
      <c r="V216" s="7" t="s">
        <v>92</v>
      </c>
      <c r="W216" s="7">
        <v>18.100000000000001</v>
      </c>
      <c r="X216" s="7">
        <v>155</v>
      </c>
      <c r="Y216" s="7">
        <v>140</v>
      </c>
      <c r="Z216" s="7" t="s">
        <v>582</v>
      </c>
      <c r="AA216" s="7" t="s">
        <v>40</v>
      </c>
      <c r="AB216" s="7">
        <v>2520</v>
      </c>
      <c r="AC216" s="5">
        <v>1834</v>
      </c>
      <c r="AD216" s="5">
        <v>4684</v>
      </c>
      <c r="AE216" s="5">
        <v>1654</v>
      </c>
      <c r="AF216" s="5">
        <v>2829</v>
      </c>
    </row>
    <row r="217" spans="1:32">
      <c r="A217" s="7" t="s">
        <v>577</v>
      </c>
      <c r="B217" s="7" t="s">
        <v>583</v>
      </c>
      <c r="C217" s="7" t="s">
        <v>583</v>
      </c>
      <c r="D217" s="7" t="s">
        <v>584</v>
      </c>
      <c r="E217" s="7" t="str">
        <f t="shared" si="7"/>
        <v>MERCEDES BENZ CLA EV 250+ with EQ Technology</v>
      </c>
      <c r="F217" s="10" t="s">
        <v>53</v>
      </c>
      <c r="G217" s="7" t="s">
        <v>585</v>
      </c>
      <c r="H217" s="7" t="s">
        <v>36</v>
      </c>
      <c r="I217" s="7">
        <v>2290000</v>
      </c>
      <c r="L217" s="7" t="s">
        <v>586</v>
      </c>
      <c r="M217" s="7" t="s">
        <v>91</v>
      </c>
      <c r="N217" s="7" t="s">
        <v>91</v>
      </c>
      <c r="Q217" s="7">
        <v>85</v>
      </c>
      <c r="R217" s="7">
        <v>792</v>
      </c>
      <c r="S217" s="7">
        <v>836</v>
      </c>
      <c r="T217" s="7" t="s">
        <v>389</v>
      </c>
      <c r="U217" s="7" t="s">
        <v>92</v>
      </c>
      <c r="V217" s="7" t="s">
        <v>92</v>
      </c>
      <c r="W217" s="7">
        <v>12.6</v>
      </c>
      <c r="X217" s="7">
        <v>135</v>
      </c>
      <c r="Y217" s="7">
        <v>200</v>
      </c>
      <c r="Z217" s="7">
        <v>335</v>
      </c>
      <c r="AA217" s="7" t="s">
        <v>40</v>
      </c>
      <c r="AB217" s="7">
        <v>2510</v>
      </c>
      <c r="AC217" s="5">
        <v>1855</v>
      </c>
      <c r="AD217" s="5">
        <v>4723</v>
      </c>
      <c r="AE217" s="5">
        <v>1468</v>
      </c>
      <c r="AF217" s="5">
        <v>2790</v>
      </c>
    </row>
    <row r="218" spans="1:32">
      <c r="A218" s="7" t="s">
        <v>577</v>
      </c>
      <c r="B218" s="7" t="s">
        <v>587</v>
      </c>
      <c r="C218" s="7" t="s">
        <v>588</v>
      </c>
      <c r="D218" s="7">
        <v>300</v>
      </c>
      <c r="E218" s="7" t="str">
        <f t="shared" si="7"/>
        <v>MERCEDES BENZ EQE 300  300</v>
      </c>
      <c r="F218" s="10" t="s">
        <v>53</v>
      </c>
      <c r="G218" s="7" t="s">
        <v>589</v>
      </c>
      <c r="H218" s="7" t="s">
        <v>36</v>
      </c>
      <c r="I218" s="7">
        <v>2890000</v>
      </c>
      <c r="L218" s="7" t="s">
        <v>590</v>
      </c>
      <c r="M218" s="7" t="s">
        <v>91</v>
      </c>
      <c r="N218" s="7" t="s">
        <v>91</v>
      </c>
      <c r="Q218" s="7">
        <v>89</v>
      </c>
      <c r="R218" s="7">
        <v>651</v>
      </c>
      <c r="S218" s="7">
        <v>621</v>
      </c>
      <c r="T218" s="7" t="s">
        <v>389</v>
      </c>
      <c r="U218" s="7" t="s">
        <v>92</v>
      </c>
      <c r="V218" s="7" t="s">
        <v>92</v>
      </c>
      <c r="W218" s="7">
        <v>17.3</v>
      </c>
      <c r="X218" s="7">
        <v>130</v>
      </c>
      <c r="Y218" s="7">
        <v>180</v>
      </c>
      <c r="Z218" s="7">
        <v>550</v>
      </c>
      <c r="AA218" s="7" t="s">
        <v>40</v>
      </c>
      <c r="AB218" s="7">
        <v>2880</v>
      </c>
      <c r="AC218" s="5">
        <v>1961</v>
      </c>
      <c r="AD218" s="5">
        <v>4946</v>
      </c>
      <c r="AE218" s="5">
        <v>1496</v>
      </c>
      <c r="AF218" s="5">
        <v>3120</v>
      </c>
    </row>
    <row r="219" spans="1:32">
      <c r="A219" s="7" t="s">
        <v>577</v>
      </c>
      <c r="B219" s="7" t="s">
        <v>587</v>
      </c>
      <c r="C219" s="7" t="s">
        <v>591</v>
      </c>
      <c r="D219" s="7" t="s">
        <v>592</v>
      </c>
      <c r="E219" s="7" t="str">
        <f t="shared" si="7"/>
        <v>MERCEDES BENZ EQE 53 53 4MATIC+</v>
      </c>
      <c r="F219" s="10" t="s">
        <v>53</v>
      </c>
      <c r="G219" s="7" t="s">
        <v>589</v>
      </c>
      <c r="H219" s="7" t="s">
        <v>36</v>
      </c>
      <c r="I219" s="7">
        <v>4890000</v>
      </c>
      <c r="L219" s="7" t="s">
        <v>593</v>
      </c>
      <c r="M219" s="7" t="s">
        <v>91</v>
      </c>
      <c r="N219" s="7" t="s">
        <v>91</v>
      </c>
      <c r="Q219" s="7" t="s">
        <v>594</v>
      </c>
      <c r="R219" s="7">
        <v>526</v>
      </c>
      <c r="S219" s="7">
        <v>568</v>
      </c>
      <c r="T219" s="7" t="s">
        <v>389</v>
      </c>
      <c r="U219" s="7" t="s">
        <v>92</v>
      </c>
      <c r="V219" s="7" t="s">
        <v>92</v>
      </c>
      <c r="W219" s="7">
        <v>22.7</v>
      </c>
      <c r="X219" s="7">
        <v>127</v>
      </c>
      <c r="Y219" s="7">
        <v>460</v>
      </c>
      <c r="Z219" s="7">
        <v>950</v>
      </c>
      <c r="AA219" s="7" t="s">
        <v>40</v>
      </c>
      <c r="AB219" s="7">
        <v>3095</v>
      </c>
      <c r="AC219" s="5">
        <v>1961</v>
      </c>
      <c r="AD219" s="5">
        <v>4964</v>
      </c>
      <c r="AE219" s="5">
        <v>1495</v>
      </c>
      <c r="AF219" s="5">
        <v>3120</v>
      </c>
    </row>
    <row r="220" spans="1:32">
      <c r="A220" s="7" t="s">
        <v>577</v>
      </c>
      <c r="B220" s="7" t="s">
        <v>587</v>
      </c>
      <c r="C220" s="7" t="s">
        <v>595</v>
      </c>
      <c r="D220" s="7" t="s">
        <v>596</v>
      </c>
      <c r="E220" s="7" t="str">
        <f t="shared" si="7"/>
        <v>MERCEDES BENZ EQE 4MATIC SUV Electric Art</v>
      </c>
      <c r="F220" s="10" t="s">
        <v>35</v>
      </c>
      <c r="G220" s="7" t="s">
        <v>35</v>
      </c>
      <c r="H220" s="7" t="s">
        <v>36</v>
      </c>
      <c r="I220" s="7">
        <v>3190000</v>
      </c>
      <c r="L220" s="7" t="s">
        <v>593</v>
      </c>
      <c r="M220" s="7" t="s">
        <v>91</v>
      </c>
      <c r="N220" s="7" t="s">
        <v>91</v>
      </c>
      <c r="Q220" s="7">
        <v>89</v>
      </c>
      <c r="R220" s="7">
        <v>558</v>
      </c>
      <c r="S220" s="7">
        <v>660</v>
      </c>
      <c r="T220" s="7" t="s">
        <v>389</v>
      </c>
      <c r="U220" s="7" t="s">
        <v>92</v>
      </c>
      <c r="V220" s="7" t="s">
        <v>92</v>
      </c>
      <c r="W220" s="7">
        <v>22.5</v>
      </c>
      <c r="X220" s="7">
        <v>131</v>
      </c>
      <c r="Y220" s="7">
        <v>215</v>
      </c>
      <c r="Z220" s="7">
        <v>765</v>
      </c>
      <c r="AA220" s="7" t="s">
        <v>40</v>
      </c>
      <c r="AB220" s="7">
        <v>3095</v>
      </c>
      <c r="AC220" s="5">
        <v>1940</v>
      </c>
      <c r="AD220" s="5">
        <v>4863</v>
      </c>
      <c r="AE220" s="5">
        <v>1685</v>
      </c>
      <c r="AF220" s="5">
        <v>3030</v>
      </c>
    </row>
    <row r="221" spans="1:32">
      <c r="A221" s="7" t="s">
        <v>577</v>
      </c>
      <c r="B221" s="7" t="s">
        <v>587</v>
      </c>
      <c r="C221" s="7" t="s">
        <v>597</v>
      </c>
      <c r="D221" s="7" t="s">
        <v>598</v>
      </c>
      <c r="E221" s="7" t="str">
        <f t="shared" si="7"/>
        <v>MERCEDES BENZ EQE SUV 4MATIC SUV AMG Line</v>
      </c>
      <c r="F221" s="10" t="s">
        <v>35</v>
      </c>
      <c r="G221" s="7" t="s">
        <v>35</v>
      </c>
      <c r="H221" s="7" t="s">
        <v>36</v>
      </c>
      <c r="I221" s="7">
        <v>3690000</v>
      </c>
      <c r="L221" s="7" t="s">
        <v>593</v>
      </c>
      <c r="M221" s="7" t="s">
        <v>91</v>
      </c>
      <c r="N221" s="7" t="s">
        <v>91</v>
      </c>
      <c r="Q221" s="7">
        <v>89</v>
      </c>
      <c r="R221" s="7">
        <v>558</v>
      </c>
      <c r="S221" s="7">
        <v>660</v>
      </c>
      <c r="T221" s="7" t="s">
        <v>389</v>
      </c>
      <c r="U221" s="7" t="s">
        <v>92</v>
      </c>
      <c r="V221" s="7" t="s">
        <v>92</v>
      </c>
      <c r="W221" s="7">
        <v>22.5</v>
      </c>
      <c r="X221" s="7">
        <v>131</v>
      </c>
      <c r="Y221" s="7">
        <v>215</v>
      </c>
      <c r="Z221" s="7" t="s">
        <v>599</v>
      </c>
      <c r="AA221" s="7" t="s">
        <v>40</v>
      </c>
      <c r="AB221" s="7">
        <v>3095</v>
      </c>
      <c r="AC221" s="5">
        <v>1940</v>
      </c>
      <c r="AD221" s="5">
        <v>4863</v>
      </c>
      <c r="AE221" s="5">
        <v>1685</v>
      </c>
      <c r="AF221" s="5">
        <v>3030</v>
      </c>
    </row>
    <row r="222" spans="1:32">
      <c r="A222" s="7" t="s">
        <v>577</v>
      </c>
      <c r="B222" s="7" t="s">
        <v>587</v>
      </c>
      <c r="C222" s="7" t="s">
        <v>600</v>
      </c>
      <c r="D222" s="7" t="s">
        <v>601</v>
      </c>
      <c r="E222" s="7" t="str">
        <f t="shared" si="7"/>
        <v>MERCEDES BENZ EQE 350 350 4MATIC SUV AMG Dynamic</v>
      </c>
      <c r="F222" s="10" t="s">
        <v>35</v>
      </c>
      <c r="G222" s="7" t="s">
        <v>35</v>
      </c>
      <c r="H222" s="7" t="s">
        <v>36</v>
      </c>
      <c r="I222" s="7">
        <v>3790000</v>
      </c>
      <c r="L222" s="7" t="s">
        <v>590</v>
      </c>
      <c r="M222" s="7" t="s">
        <v>91</v>
      </c>
      <c r="N222" s="7" t="s">
        <v>91</v>
      </c>
      <c r="Q222" s="7">
        <v>89</v>
      </c>
      <c r="R222" s="7">
        <v>558</v>
      </c>
      <c r="S222" s="7">
        <v>660</v>
      </c>
      <c r="T222" s="7" t="s">
        <v>389</v>
      </c>
      <c r="U222" s="7" t="s">
        <v>92</v>
      </c>
      <c r="V222" s="7" t="s">
        <v>92</v>
      </c>
      <c r="W222" s="7">
        <v>22.5</v>
      </c>
      <c r="X222" s="7">
        <v>131</v>
      </c>
      <c r="Y222" s="7">
        <v>215</v>
      </c>
      <c r="Z222" s="7" t="s">
        <v>602</v>
      </c>
      <c r="AA222" s="7" t="s">
        <v>40</v>
      </c>
      <c r="AB222" s="7">
        <v>3095</v>
      </c>
      <c r="AC222" s="5">
        <v>1940</v>
      </c>
      <c r="AD222" s="5">
        <v>4863</v>
      </c>
      <c r="AE222" s="5">
        <v>1685</v>
      </c>
      <c r="AF222" s="5">
        <v>3030</v>
      </c>
    </row>
    <row r="223" spans="1:32">
      <c r="A223" s="7" t="s">
        <v>577</v>
      </c>
      <c r="B223" s="7" t="s">
        <v>603</v>
      </c>
      <c r="C223" s="7" t="s">
        <v>603</v>
      </c>
      <c r="D223" s="7" t="s">
        <v>592</v>
      </c>
      <c r="E223" s="7" t="str">
        <f t="shared" si="7"/>
        <v>MERCEDES BENZ EQS Saloon 53 4MATIC+</v>
      </c>
      <c r="F223" s="10" t="s">
        <v>53</v>
      </c>
      <c r="G223" s="7" t="s">
        <v>53</v>
      </c>
      <c r="H223" s="7" t="s">
        <v>36</v>
      </c>
      <c r="I223" s="7">
        <v>8570000</v>
      </c>
      <c r="L223" s="7" t="s">
        <v>604</v>
      </c>
      <c r="M223" s="7" t="s">
        <v>91</v>
      </c>
      <c r="N223" s="7" t="s">
        <v>91</v>
      </c>
      <c r="Q223" s="7">
        <v>107.8</v>
      </c>
      <c r="R223" s="7" t="s">
        <v>605</v>
      </c>
      <c r="S223" s="7">
        <v>617</v>
      </c>
      <c r="T223" s="7" t="s">
        <v>389</v>
      </c>
      <c r="U223" s="7" t="s">
        <v>92</v>
      </c>
      <c r="V223" s="7" t="s">
        <v>92</v>
      </c>
      <c r="W223" s="7">
        <v>23.9</v>
      </c>
      <c r="X223" s="7">
        <v>134</v>
      </c>
      <c r="Y223" s="7">
        <v>484</v>
      </c>
      <c r="Z223" s="7">
        <v>950</v>
      </c>
      <c r="AA223" s="7" t="s">
        <v>40</v>
      </c>
      <c r="AB223" s="7">
        <v>3225</v>
      </c>
      <c r="AC223" s="5">
        <v>1926</v>
      </c>
      <c r="AD223" s="5">
        <v>5223</v>
      </c>
      <c r="AE223" s="5">
        <v>1518</v>
      </c>
      <c r="AF223" s="5">
        <v>3210</v>
      </c>
    </row>
    <row r="224" spans="1:32">
      <c r="A224" s="7" t="s">
        <v>577</v>
      </c>
      <c r="B224" s="7" t="s">
        <v>603</v>
      </c>
      <c r="C224" s="5" t="s">
        <v>606</v>
      </c>
      <c r="D224" s="7" t="s">
        <v>607</v>
      </c>
      <c r="E224" s="7" t="str">
        <f t="shared" si="7"/>
        <v>MERCEDES BENZ EQS-EV 450+ AMG Dynamic</v>
      </c>
      <c r="F224" s="10" t="s">
        <v>53</v>
      </c>
      <c r="G224" s="7" t="s">
        <v>53</v>
      </c>
      <c r="H224" s="7" t="s">
        <v>36</v>
      </c>
      <c r="I224" s="7">
        <v>4590000</v>
      </c>
      <c r="L224" s="7" t="s">
        <v>608</v>
      </c>
      <c r="M224" s="7" t="s">
        <v>91</v>
      </c>
      <c r="N224" s="7" t="s">
        <v>91</v>
      </c>
      <c r="Q224" s="7">
        <v>108.4</v>
      </c>
      <c r="R224" s="7">
        <v>783</v>
      </c>
      <c r="S224" s="7">
        <v>857</v>
      </c>
      <c r="T224" s="7" t="s">
        <v>389</v>
      </c>
      <c r="U224" s="7" t="s">
        <v>92</v>
      </c>
      <c r="V224" s="7" t="s">
        <v>92</v>
      </c>
      <c r="W224" s="7">
        <v>19.8</v>
      </c>
      <c r="X224" s="7">
        <v>134</v>
      </c>
      <c r="Y224" s="7">
        <v>265</v>
      </c>
      <c r="Z224" s="7" t="s">
        <v>609</v>
      </c>
      <c r="AA224" s="7" t="s">
        <v>40</v>
      </c>
      <c r="AB224" s="7">
        <v>2945</v>
      </c>
      <c r="AC224" s="5">
        <v>1926</v>
      </c>
      <c r="AD224" s="5">
        <v>5223</v>
      </c>
      <c r="AE224" s="5">
        <v>1518</v>
      </c>
      <c r="AF224" s="5">
        <v>3210</v>
      </c>
    </row>
    <row r="225" spans="1:32">
      <c r="A225" s="7" t="s">
        <v>577</v>
      </c>
      <c r="B225" s="7" t="s">
        <v>603</v>
      </c>
      <c r="C225" s="7" t="s">
        <v>610</v>
      </c>
      <c r="D225" s="7" t="s">
        <v>611</v>
      </c>
      <c r="E225" s="7" t="str">
        <f t="shared" si="7"/>
        <v>MERCEDES BENZ EQS 500 500 4MATIC AMG Premium</v>
      </c>
      <c r="F225" s="10" t="s">
        <v>53</v>
      </c>
      <c r="G225" s="7" t="s">
        <v>53</v>
      </c>
      <c r="H225" s="7" t="s">
        <v>36</v>
      </c>
      <c r="I225" s="7">
        <v>4190000</v>
      </c>
      <c r="L225" s="7" t="s">
        <v>608</v>
      </c>
      <c r="M225" s="7" t="s">
        <v>91</v>
      </c>
      <c r="N225" s="7" t="s">
        <v>91</v>
      </c>
      <c r="Q225" s="7">
        <v>108.4</v>
      </c>
      <c r="R225" s="7" t="s">
        <v>612</v>
      </c>
      <c r="S225" s="7">
        <v>770</v>
      </c>
      <c r="T225" s="7" t="s">
        <v>389</v>
      </c>
      <c r="U225" s="7" t="s">
        <v>92</v>
      </c>
      <c r="V225" s="7" t="s">
        <v>92</v>
      </c>
      <c r="W225" s="7">
        <v>21</v>
      </c>
      <c r="X225" s="7">
        <v>134</v>
      </c>
      <c r="Y225" s="7">
        <v>330</v>
      </c>
      <c r="Z225" s="7">
        <v>828</v>
      </c>
      <c r="AA225" s="7" t="s">
        <v>40</v>
      </c>
      <c r="AB225" s="7">
        <v>3060</v>
      </c>
      <c r="AC225" s="5">
        <v>1926</v>
      </c>
      <c r="AD225" s="5">
        <v>5223</v>
      </c>
      <c r="AE225" s="5">
        <v>1518</v>
      </c>
      <c r="AF225" s="5">
        <v>3210</v>
      </c>
    </row>
    <row r="226" spans="1:32">
      <c r="A226" s="7" t="s">
        <v>577</v>
      </c>
      <c r="B226" s="7" t="s">
        <v>613</v>
      </c>
      <c r="C226" s="7" t="s">
        <v>614</v>
      </c>
      <c r="D226" s="7" t="s">
        <v>615</v>
      </c>
      <c r="E226" s="7" t="str">
        <f t="shared" si="7"/>
        <v>MERCEDES BENZ EQS 450EV 450 4MATIC SUV AMG Dynamic</v>
      </c>
      <c r="F226" s="10" t="s">
        <v>35</v>
      </c>
      <c r="G226" s="7" t="s">
        <v>616</v>
      </c>
      <c r="H226" s="7" t="s">
        <v>36</v>
      </c>
      <c r="I226" s="7" t="s">
        <v>617</v>
      </c>
      <c r="L226" s="7" t="s">
        <v>608</v>
      </c>
      <c r="M226" s="7" t="s">
        <v>91</v>
      </c>
      <c r="N226" s="7" t="s">
        <v>91</v>
      </c>
      <c r="Q226" s="7">
        <v>118</v>
      </c>
      <c r="R226" s="7" t="s">
        <v>618</v>
      </c>
      <c r="S226" s="7">
        <v>740</v>
      </c>
      <c r="T226" s="7" t="s">
        <v>389</v>
      </c>
      <c r="U226" s="7" t="s">
        <v>92</v>
      </c>
      <c r="V226" s="7" t="s">
        <v>92</v>
      </c>
      <c r="W226" s="7">
        <v>19.899999999999999</v>
      </c>
      <c r="X226" s="7">
        <v>181</v>
      </c>
      <c r="Y226" s="7">
        <v>210</v>
      </c>
      <c r="Z226" s="7" t="s">
        <v>619</v>
      </c>
      <c r="AA226" s="7" t="s">
        <v>40</v>
      </c>
      <c r="AB226" s="7">
        <v>3410</v>
      </c>
      <c r="AC226" s="5">
        <v>1959</v>
      </c>
      <c r="AD226" s="5">
        <v>5125</v>
      </c>
      <c r="AE226" s="5">
        <v>1718</v>
      </c>
      <c r="AF226" s="5">
        <v>3210</v>
      </c>
    </row>
    <row r="227" spans="1:32">
      <c r="A227" s="7" t="s">
        <v>577</v>
      </c>
      <c r="B227" s="7" t="s">
        <v>613</v>
      </c>
      <c r="C227" s="7" t="s">
        <v>613</v>
      </c>
      <c r="D227" s="7" t="s">
        <v>620</v>
      </c>
      <c r="E227" s="7" t="str">
        <f t="shared" si="7"/>
        <v>MERCEDES BENZ EQS SUV 500 4MATIC SUV AMG Dynamic</v>
      </c>
      <c r="F227" s="10" t="s">
        <v>35</v>
      </c>
      <c r="G227" s="7" t="s">
        <v>616</v>
      </c>
      <c r="H227" s="7" t="s">
        <v>36</v>
      </c>
      <c r="I227" s="7">
        <v>6950000</v>
      </c>
      <c r="L227" s="7" t="s">
        <v>608</v>
      </c>
      <c r="M227" s="7" t="s">
        <v>91</v>
      </c>
      <c r="N227" s="7" t="s">
        <v>91</v>
      </c>
      <c r="Q227" s="7">
        <v>118</v>
      </c>
      <c r="R227" s="7">
        <v>550</v>
      </c>
      <c r="S227" s="7">
        <v>616</v>
      </c>
      <c r="T227" s="7" t="s">
        <v>389</v>
      </c>
      <c r="U227" s="7" t="s">
        <v>92</v>
      </c>
      <c r="V227" s="7" t="s">
        <v>92</v>
      </c>
      <c r="W227" s="7">
        <v>20.3</v>
      </c>
      <c r="X227" s="7">
        <v>181</v>
      </c>
      <c r="Y227" s="7" t="s">
        <v>621</v>
      </c>
      <c r="Z227" s="7" t="s">
        <v>622</v>
      </c>
      <c r="AA227" s="7" t="s">
        <v>40</v>
      </c>
      <c r="AB227" s="7">
        <v>3415</v>
      </c>
      <c r="AC227" s="5">
        <v>1959</v>
      </c>
      <c r="AD227" s="5">
        <v>5125</v>
      </c>
      <c r="AE227" s="5">
        <v>1718</v>
      </c>
      <c r="AF227" s="5">
        <v>3210</v>
      </c>
    </row>
    <row r="228" spans="1:32">
      <c r="A228" s="7" t="s">
        <v>577</v>
      </c>
      <c r="B228" s="7" t="s">
        <v>613</v>
      </c>
      <c r="C228" s="7" t="s">
        <v>613</v>
      </c>
      <c r="D228" s="7" t="s">
        <v>623</v>
      </c>
      <c r="E228" s="7" t="str">
        <f t="shared" si="7"/>
        <v>MERCEDES BENZ EQS SUV 680 SUV</v>
      </c>
      <c r="F228" s="10" t="s">
        <v>35</v>
      </c>
      <c r="G228" s="7" t="s">
        <v>35</v>
      </c>
      <c r="H228" s="7" t="s">
        <v>36</v>
      </c>
      <c r="I228" s="7">
        <v>12500000</v>
      </c>
      <c r="L228" s="7" t="s">
        <v>608</v>
      </c>
      <c r="M228" s="7" t="s">
        <v>91</v>
      </c>
      <c r="N228" s="7" t="s">
        <v>91</v>
      </c>
      <c r="Q228" s="7">
        <v>118</v>
      </c>
      <c r="R228" s="7">
        <v>615</v>
      </c>
      <c r="S228" s="7">
        <v>685</v>
      </c>
      <c r="T228" s="7" t="s">
        <v>389</v>
      </c>
      <c r="U228" s="7" t="s">
        <v>92</v>
      </c>
      <c r="V228" s="7" t="s">
        <v>92</v>
      </c>
      <c r="W228" s="7">
        <v>24.1</v>
      </c>
      <c r="X228" s="7">
        <v>181</v>
      </c>
      <c r="Y228" s="7">
        <v>484</v>
      </c>
      <c r="Z228" s="7">
        <v>950</v>
      </c>
      <c r="AA228" s="7" t="s">
        <v>40</v>
      </c>
      <c r="AB228" s="7">
        <v>3500</v>
      </c>
      <c r="AC228" s="5">
        <v>1959</v>
      </c>
      <c r="AD228" s="5">
        <v>5125</v>
      </c>
      <c r="AE228" s="5">
        <v>1718</v>
      </c>
      <c r="AF228" s="5">
        <v>3210</v>
      </c>
    </row>
    <row r="229" spans="1:32">
      <c r="A229" s="7" t="s">
        <v>577</v>
      </c>
      <c r="B229" s="7" t="s">
        <v>624</v>
      </c>
      <c r="C229" s="7" t="s">
        <v>624</v>
      </c>
      <c r="D229" s="7" t="s">
        <v>625</v>
      </c>
      <c r="E229" s="7" t="str">
        <f t="shared" si="7"/>
        <v>MERCEDES BENZ Electric G-Class G 580 with EQ Technology Edition One</v>
      </c>
      <c r="F229" s="10" t="s">
        <v>35</v>
      </c>
      <c r="G229" s="7" t="s">
        <v>626</v>
      </c>
      <c r="H229" s="7" t="s">
        <v>36</v>
      </c>
      <c r="I229" s="7" t="s">
        <v>627</v>
      </c>
      <c r="L229" s="7" t="s">
        <v>608</v>
      </c>
      <c r="M229" s="7" t="s">
        <v>91</v>
      </c>
      <c r="N229" s="7" t="s">
        <v>91</v>
      </c>
      <c r="Q229" s="7">
        <v>116</v>
      </c>
      <c r="R229" s="7">
        <v>473</v>
      </c>
      <c r="S229" s="7">
        <v>540</v>
      </c>
      <c r="T229" s="7" t="s">
        <v>389</v>
      </c>
      <c r="U229" s="7" t="s">
        <v>92</v>
      </c>
      <c r="V229" s="7" t="s">
        <v>92</v>
      </c>
      <c r="W229" s="7">
        <v>30.4</v>
      </c>
      <c r="X229" s="7">
        <v>250</v>
      </c>
      <c r="Y229" s="7">
        <v>432</v>
      </c>
      <c r="Z229" s="7" t="s">
        <v>628</v>
      </c>
      <c r="AA229" s="7" t="s">
        <v>40</v>
      </c>
      <c r="AB229" s="7">
        <v>3500</v>
      </c>
      <c r="AC229" s="5">
        <v>1931</v>
      </c>
      <c r="AD229" s="5">
        <v>4624</v>
      </c>
      <c r="AE229" s="5">
        <v>1986</v>
      </c>
      <c r="AF229" s="5">
        <v>2890</v>
      </c>
    </row>
    <row r="230" spans="1:32">
      <c r="A230" s="7" t="s">
        <v>577</v>
      </c>
      <c r="B230" s="7" t="s">
        <v>629</v>
      </c>
      <c r="C230" s="7" t="s">
        <v>629</v>
      </c>
      <c r="D230" s="7" t="s">
        <v>630</v>
      </c>
      <c r="E230" s="7" t="str">
        <f t="shared" si="7"/>
        <v>MERCEDES BENZ EQ  G 580 with EQ Technology</v>
      </c>
      <c r="F230" s="10" t="s">
        <v>35</v>
      </c>
      <c r="G230" s="7" t="s">
        <v>626</v>
      </c>
      <c r="H230" s="7" t="s">
        <v>36</v>
      </c>
      <c r="I230" s="7">
        <v>9500000</v>
      </c>
      <c r="L230" s="7" t="s">
        <v>608</v>
      </c>
      <c r="M230" s="7" t="s">
        <v>91</v>
      </c>
      <c r="N230" s="7" t="s">
        <v>91</v>
      </c>
      <c r="Q230" s="7">
        <v>116</v>
      </c>
      <c r="R230" s="7">
        <v>473</v>
      </c>
      <c r="S230" s="7">
        <v>540</v>
      </c>
      <c r="T230" s="7" t="s">
        <v>389</v>
      </c>
      <c r="U230" s="7" t="s">
        <v>92</v>
      </c>
      <c r="V230" s="7" t="s">
        <v>92</v>
      </c>
      <c r="W230" s="7">
        <v>30.3</v>
      </c>
      <c r="X230" s="7">
        <v>250</v>
      </c>
      <c r="Y230" s="7">
        <v>432</v>
      </c>
      <c r="Z230" s="7">
        <v>1164</v>
      </c>
      <c r="AA230" s="7" t="s">
        <v>40</v>
      </c>
      <c r="AB230" s="7">
        <v>3500</v>
      </c>
      <c r="AC230" s="5">
        <v>1931</v>
      </c>
      <c r="AD230" s="5">
        <v>4624</v>
      </c>
      <c r="AE230" s="5">
        <v>1986</v>
      </c>
      <c r="AF230" s="5">
        <v>2890</v>
      </c>
    </row>
    <row r="231" spans="1:32">
      <c r="A231" s="7" t="s">
        <v>577</v>
      </c>
      <c r="B231" s="7" t="s">
        <v>631</v>
      </c>
      <c r="C231" s="7" t="s">
        <v>631</v>
      </c>
      <c r="D231" s="7" t="s">
        <v>579</v>
      </c>
      <c r="E231" s="7" t="str">
        <f t="shared" si="7"/>
        <v>MERCEDES BENZ EQA 250 AMG Line</v>
      </c>
      <c r="F231" s="10" t="s">
        <v>35</v>
      </c>
      <c r="G231" s="7" t="s">
        <v>632</v>
      </c>
      <c r="H231" s="7" t="s">
        <v>36</v>
      </c>
      <c r="I231" s="7">
        <v>2290000</v>
      </c>
      <c r="L231" s="7" t="s">
        <v>633</v>
      </c>
      <c r="M231" s="7" t="s">
        <v>91</v>
      </c>
      <c r="N231" s="7" t="s">
        <v>91</v>
      </c>
      <c r="Q231" s="7">
        <v>66.5</v>
      </c>
      <c r="R231" s="7">
        <v>426</v>
      </c>
      <c r="S231" s="7">
        <v>496</v>
      </c>
      <c r="T231" s="7" t="s">
        <v>389</v>
      </c>
      <c r="U231" s="7" t="s">
        <v>92</v>
      </c>
      <c r="V231" s="7" t="s">
        <v>92</v>
      </c>
      <c r="W231" s="7">
        <v>18.5</v>
      </c>
      <c r="X231" s="7">
        <v>154</v>
      </c>
      <c r="Y231" s="7">
        <v>140</v>
      </c>
      <c r="Z231" s="7">
        <v>385</v>
      </c>
      <c r="AA231" s="7" t="s">
        <v>40</v>
      </c>
      <c r="AB231" s="7">
        <v>2470</v>
      </c>
      <c r="AC231" s="5">
        <v>1834</v>
      </c>
      <c r="AD231" s="5">
        <v>4463</v>
      </c>
      <c r="AE231" s="5">
        <v>1613</v>
      </c>
      <c r="AF231" s="5">
        <v>2729</v>
      </c>
    </row>
    <row r="232" spans="1:32">
      <c r="A232" s="7" t="s">
        <v>577</v>
      </c>
      <c r="B232" s="7" t="s">
        <v>631</v>
      </c>
      <c r="C232" s="7" t="s">
        <v>631</v>
      </c>
      <c r="D232" s="7" t="s">
        <v>634</v>
      </c>
      <c r="E232" s="7" t="str">
        <f t="shared" si="7"/>
        <v>MERCEDES BENZ EQA 350 4MATIC AMG Line</v>
      </c>
      <c r="F232" s="10" t="s">
        <v>35</v>
      </c>
      <c r="G232" s="7" t="s">
        <v>632</v>
      </c>
      <c r="H232" s="7" t="s">
        <v>36</v>
      </c>
      <c r="I232" s="7">
        <v>2410000</v>
      </c>
      <c r="L232" s="7" t="s">
        <v>633</v>
      </c>
      <c r="M232" s="7" t="s">
        <v>91</v>
      </c>
      <c r="N232" s="7" t="s">
        <v>91</v>
      </c>
      <c r="Q232" s="7">
        <v>66.5</v>
      </c>
      <c r="R232" s="7">
        <v>426</v>
      </c>
      <c r="S232" s="7">
        <v>493</v>
      </c>
      <c r="T232" s="7" t="s">
        <v>389</v>
      </c>
      <c r="U232" s="7" t="s">
        <v>92</v>
      </c>
      <c r="V232" s="7" t="s">
        <v>92</v>
      </c>
      <c r="W232" s="7">
        <v>18.5</v>
      </c>
      <c r="X232" s="7">
        <v>154</v>
      </c>
      <c r="Y232" s="7">
        <v>215</v>
      </c>
      <c r="Z232" s="7">
        <v>520</v>
      </c>
      <c r="AA232" s="7" t="s">
        <v>40</v>
      </c>
      <c r="AB232" s="7">
        <v>2535</v>
      </c>
      <c r="AC232" s="5">
        <v>1834</v>
      </c>
      <c r="AD232" s="5">
        <v>4463</v>
      </c>
      <c r="AE232" s="5">
        <v>1613</v>
      </c>
      <c r="AF232" s="5">
        <v>2729</v>
      </c>
    </row>
    <row r="233" spans="1:32">
      <c r="A233" s="7" t="s">
        <v>635</v>
      </c>
      <c r="B233" s="7" t="s">
        <v>636</v>
      </c>
      <c r="C233" s="7" t="s">
        <v>637</v>
      </c>
      <c r="D233" s="7" t="s">
        <v>638</v>
      </c>
      <c r="E233" s="7" t="str">
        <f t="shared" si="7"/>
        <v>MINI COOPER EV MINI Cooper (Hightrim)</v>
      </c>
      <c r="F233" s="10" t="s">
        <v>47</v>
      </c>
      <c r="G233" s="7" t="s">
        <v>47</v>
      </c>
      <c r="H233" s="7" t="s">
        <v>36</v>
      </c>
      <c r="I233" s="7" t="s">
        <v>639</v>
      </c>
      <c r="L233" s="7" t="s">
        <v>640</v>
      </c>
      <c r="M233" s="7" t="s">
        <v>641</v>
      </c>
      <c r="N233" s="7" t="s">
        <v>641</v>
      </c>
      <c r="Q233" s="7">
        <v>54.2</v>
      </c>
      <c r="R233" s="7">
        <v>402</v>
      </c>
      <c r="S233" s="7">
        <v>444</v>
      </c>
      <c r="T233" s="7" t="s">
        <v>389</v>
      </c>
      <c r="U233" s="7" t="s">
        <v>92</v>
      </c>
      <c r="V233" s="7" t="s">
        <v>92</v>
      </c>
      <c r="W233" s="7">
        <v>14.7</v>
      </c>
      <c r="X233" s="7">
        <v>124</v>
      </c>
      <c r="Y233" s="7">
        <v>160</v>
      </c>
      <c r="Z233" s="7">
        <v>330</v>
      </c>
      <c r="AA233" s="7" t="s">
        <v>40</v>
      </c>
      <c r="AB233" s="7">
        <v>2095</v>
      </c>
      <c r="AC233" s="5">
        <v>1756</v>
      </c>
      <c r="AD233" s="5">
        <v>3858</v>
      </c>
      <c r="AE233" s="5">
        <v>1460</v>
      </c>
      <c r="AF233" s="5">
        <v>2526</v>
      </c>
    </row>
    <row r="234" spans="1:32">
      <c r="A234" s="7" t="s">
        <v>635</v>
      </c>
      <c r="B234" s="7" t="s">
        <v>636</v>
      </c>
      <c r="C234" s="7" t="s">
        <v>642</v>
      </c>
      <c r="D234" s="7" t="s">
        <v>643</v>
      </c>
      <c r="E234" s="7" t="str">
        <f t="shared" si="7"/>
        <v>MINI Cooper Cooper SE Classic</v>
      </c>
      <c r="F234" s="10" t="s">
        <v>47</v>
      </c>
      <c r="G234" s="7" t="s">
        <v>47</v>
      </c>
      <c r="H234" s="7" t="s">
        <v>36</v>
      </c>
      <c r="I234" s="7">
        <v>1555000</v>
      </c>
      <c r="L234" s="7" t="s">
        <v>640</v>
      </c>
      <c r="M234" s="7" t="s">
        <v>641</v>
      </c>
      <c r="N234" s="7" t="s">
        <v>641</v>
      </c>
      <c r="Q234" s="7">
        <v>54.2</v>
      </c>
      <c r="R234" s="7">
        <v>402</v>
      </c>
      <c r="S234" s="7">
        <v>444</v>
      </c>
      <c r="T234" s="7" t="s">
        <v>389</v>
      </c>
      <c r="U234" s="7" t="s">
        <v>92</v>
      </c>
      <c r="V234" s="7" t="s">
        <v>92</v>
      </c>
      <c r="W234" s="7">
        <v>14.7</v>
      </c>
      <c r="X234" s="7">
        <v>124</v>
      </c>
      <c r="Y234" s="7">
        <v>160</v>
      </c>
      <c r="Z234" s="7">
        <v>330</v>
      </c>
      <c r="AA234" s="7" t="s">
        <v>40</v>
      </c>
      <c r="AB234" s="7">
        <v>2055</v>
      </c>
      <c r="AC234" s="5">
        <v>1756</v>
      </c>
      <c r="AD234" s="5">
        <v>3858</v>
      </c>
      <c r="AE234" s="5">
        <v>1460</v>
      </c>
      <c r="AF234" s="5">
        <v>2526</v>
      </c>
    </row>
    <row r="235" spans="1:32">
      <c r="A235" s="7" t="s">
        <v>635</v>
      </c>
      <c r="B235" s="7" t="s">
        <v>636</v>
      </c>
      <c r="C235" s="7" t="s">
        <v>642</v>
      </c>
      <c r="D235" s="7" t="s">
        <v>644</v>
      </c>
      <c r="E235" s="7" t="str">
        <f t="shared" si="7"/>
        <v>MINI Cooper Cooper SE Favoured</v>
      </c>
      <c r="F235" s="10" t="s">
        <v>47</v>
      </c>
      <c r="G235" s="7" t="s">
        <v>47</v>
      </c>
      <c r="H235" s="7" t="s">
        <v>36</v>
      </c>
      <c r="I235" s="7">
        <v>1699000</v>
      </c>
      <c r="L235" s="7" t="s">
        <v>640</v>
      </c>
      <c r="M235" s="7" t="s">
        <v>641</v>
      </c>
      <c r="N235" s="7" t="s">
        <v>641</v>
      </c>
      <c r="Q235" s="7">
        <v>54.2</v>
      </c>
      <c r="R235" s="7">
        <v>402</v>
      </c>
      <c r="S235" s="7">
        <v>444</v>
      </c>
      <c r="T235" s="7" t="s">
        <v>389</v>
      </c>
      <c r="U235" s="7" t="s">
        <v>92</v>
      </c>
      <c r="V235" s="7" t="s">
        <v>92</v>
      </c>
      <c r="W235" s="7">
        <v>14.7</v>
      </c>
      <c r="X235" s="7">
        <v>124</v>
      </c>
      <c r="Y235" s="7">
        <v>160</v>
      </c>
      <c r="Z235" s="7">
        <v>330</v>
      </c>
      <c r="AA235" s="7" t="s">
        <v>40</v>
      </c>
      <c r="AB235" s="7">
        <v>2055</v>
      </c>
      <c r="AC235" s="5">
        <v>1756</v>
      </c>
      <c r="AD235" s="5">
        <v>3858</v>
      </c>
      <c r="AE235" s="5">
        <v>1460</v>
      </c>
      <c r="AF235" s="5">
        <v>2526</v>
      </c>
    </row>
    <row r="236" spans="1:32">
      <c r="A236" s="7" t="s">
        <v>635</v>
      </c>
      <c r="B236" s="7" t="s">
        <v>636</v>
      </c>
      <c r="C236" s="7" t="s">
        <v>642</v>
      </c>
      <c r="D236" s="7" t="s">
        <v>645</v>
      </c>
      <c r="E236" s="7" t="str">
        <f t="shared" si="7"/>
        <v>MINI Cooper John Cooper Works Electric (1965 Victory Edition ปี 2026)</v>
      </c>
      <c r="F236" s="10" t="s">
        <v>47</v>
      </c>
      <c r="G236" s="7" t="s">
        <v>47</v>
      </c>
      <c r="H236" s="7" t="s">
        <v>36</v>
      </c>
      <c r="I236" s="7">
        <v>2249000</v>
      </c>
      <c r="L236" s="7" t="s">
        <v>640</v>
      </c>
      <c r="M236" s="7" t="s">
        <v>641</v>
      </c>
      <c r="N236" s="7" t="s">
        <v>641</v>
      </c>
      <c r="Q236" s="7">
        <v>54.2</v>
      </c>
      <c r="R236" s="7">
        <v>371</v>
      </c>
      <c r="S236" s="7">
        <v>415</v>
      </c>
      <c r="T236" s="7" t="s">
        <v>389</v>
      </c>
      <c r="U236" s="7" t="s">
        <v>92</v>
      </c>
      <c r="V236" s="7" t="s">
        <v>92</v>
      </c>
      <c r="W236" s="7">
        <v>14.8</v>
      </c>
      <c r="X236" s="7">
        <v>124</v>
      </c>
      <c r="Y236" s="7">
        <v>190</v>
      </c>
      <c r="Z236" s="7">
        <v>350</v>
      </c>
      <c r="AA236" s="7" t="s">
        <v>40</v>
      </c>
      <c r="AB236" s="7">
        <v>2110</v>
      </c>
      <c r="AC236" s="5">
        <v>1756</v>
      </c>
      <c r="AD236" s="5">
        <v>3858</v>
      </c>
      <c r="AE236" s="5">
        <v>1460</v>
      </c>
      <c r="AF236" s="5">
        <v>2526</v>
      </c>
    </row>
    <row r="237" spans="1:32">
      <c r="A237" s="7" t="s">
        <v>635</v>
      </c>
      <c r="B237" s="7" t="s">
        <v>636</v>
      </c>
      <c r="C237" s="7" t="s">
        <v>642</v>
      </c>
      <c r="D237" s="7" t="s">
        <v>646</v>
      </c>
      <c r="E237" s="7" t="str">
        <f t="shared" si="7"/>
        <v>MINI Cooper Cooper Paul Smith Edition</v>
      </c>
      <c r="F237" s="10" t="s">
        <v>47</v>
      </c>
      <c r="G237" s="7" t="s">
        <v>47</v>
      </c>
      <c r="H237" s="7" t="s">
        <v>36</v>
      </c>
      <c r="I237" s="7">
        <v>1899000</v>
      </c>
      <c r="L237" s="7" t="s">
        <v>640</v>
      </c>
      <c r="M237" s="7" t="s">
        <v>641</v>
      </c>
      <c r="N237" s="7" t="s">
        <v>641</v>
      </c>
      <c r="Q237" s="7">
        <v>54.2</v>
      </c>
      <c r="R237" s="7">
        <v>402</v>
      </c>
      <c r="S237" s="7">
        <v>444</v>
      </c>
      <c r="T237" s="7" t="s">
        <v>389</v>
      </c>
      <c r="U237" s="7" t="s">
        <v>92</v>
      </c>
      <c r="V237" s="7" t="s">
        <v>92</v>
      </c>
      <c r="W237" s="7">
        <v>14.7</v>
      </c>
      <c r="X237" s="7">
        <v>124</v>
      </c>
      <c r="Y237" s="7">
        <v>160</v>
      </c>
      <c r="Z237" s="7">
        <v>330</v>
      </c>
      <c r="AA237" s="7" t="s">
        <v>40</v>
      </c>
      <c r="AB237" s="7">
        <v>2055</v>
      </c>
      <c r="AC237" s="5">
        <v>1756</v>
      </c>
      <c r="AD237" s="5">
        <v>3858</v>
      </c>
      <c r="AE237" s="5">
        <v>1460</v>
      </c>
      <c r="AF237" s="5">
        <v>2526</v>
      </c>
    </row>
    <row r="238" spans="1:32">
      <c r="A238" s="7" t="s">
        <v>635</v>
      </c>
      <c r="B238" s="7" t="s">
        <v>647</v>
      </c>
      <c r="C238" s="7" t="s">
        <v>648</v>
      </c>
      <c r="D238" s="7" t="s">
        <v>649</v>
      </c>
      <c r="E238" s="7" t="str">
        <f t="shared" si="7"/>
        <v>MINI ACEMAN SE-EV Aceman SE Classic</v>
      </c>
      <c r="F238" s="10" t="s">
        <v>35</v>
      </c>
      <c r="G238" s="7" t="s">
        <v>462</v>
      </c>
      <c r="H238" s="7" t="s">
        <v>36</v>
      </c>
      <c r="I238" s="7">
        <v>1755000</v>
      </c>
      <c r="L238" s="7" t="s">
        <v>640</v>
      </c>
      <c r="M238" s="7" t="s">
        <v>641</v>
      </c>
      <c r="N238" s="7" t="s">
        <v>641</v>
      </c>
      <c r="Q238" s="7">
        <v>54.2</v>
      </c>
      <c r="R238" s="7">
        <v>405</v>
      </c>
      <c r="S238" s="7">
        <v>450</v>
      </c>
      <c r="T238" s="7" t="s">
        <v>389</v>
      </c>
      <c r="U238" s="7" t="s">
        <v>92</v>
      </c>
      <c r="V238" s="7" t="s">
        <v>92</v>
      </c>
      <c r="W238" s="7">
        <v>14.5</v>
      </c>
      <c r="X238" s="7">
        <v>145</v>
      </c>
      <c r="Y238" s="7">
        <v>160</v>
      </c>
      <c r="Z238" s="7">
        <v>330</v>
      </c>
      <c r="AA238" s="7" t="s">
        <v>40</v>
      </c>
      <c r="AB238" s="7">
        <v>2180</v>
      </c>
      <c r="AC238" s="5">
        <v>1843</v>
      </c>
      <c r="AD238" s="5">
        <v>4075</v>
      </c>
      <c r="AE238" s="5">
        <v>1514</v>
      </c>
      <c r="AF238" s="5">
        <v>2606</v>
      </c>
    </row>
    <row r="239" spans="1:32">
      <c r="A239" s="7" t="s">
        <v>635</v>
      </c>
      <c r="B239" s="7" t="s">
        <v>647</v>
      </c>
      <c r="C239" s="7" t="s">
        <v>650</v>
      </c>
      <c r="D239" s="7" t="s">
        <v>647</v>
      </c>
      <c r="E239" s="7" t="str">
        <f t="shared" si="7"/>
        <v>MINI Aceman Aceman SE</v>
      </c>
      <c r="F239" s="10" t="s">
        <v>35</v>
      </c>
      <c r="G239" s="7" t="s">
        <v>462</v>
      </c>
      <c r="H239" s="7" t="s">
        <v>36</v>
      </c>
      <c r="I239" s="7">
        <v>1999000</v>
      </c>
      <c r="L239" s="7" t="s">
        <v>640</v>
      </c>
      <c r="M239" s="7" t="s">
        <v>641</v>
      </c>
      <c r="N239" s="7" t="s">
        <v>641</v>
      </c>
      <c r="Q239" s="7">
        <v>54.2</v>
      </c>
      <c r="R239" s="7">
        <v>405</v>
      </c>
      <c r="S239" s="7">
        <v>450</v>
      </c>
      <c r="T239" s="7" t="s">
        <v>389</v>
      </c>
      <c r="U239" s="7" t="s">
        <v>92</v>
      </c>
      <c r="V239" s="7" t="s">
        <v>92</v>
      </c>
      <c r="W239" s="7">
        <v>14.5</v>
      </c>
      <c r="X239" s="7">
        <v>145</v>
      </c>
      <c r="Y239" s="7">
        <v>160</v>
      </c>
      <c r="Z239" s="7">
        <v>330</v>
      </c>
      <c r="AA239" s="7" t="s">
        <v>40</v>
      </c>
      <c r="AB239" s="7">
        <v>2180</v>
      </c>
      <c r="AC239" s="5">
        <v>1843</v>
      </c>
      <c r="AD239" s="5">
        <v>4075</v>
      </c>
      <c r="AE239" s="5">
        <v>1514</v>
      </c>
      <c r="AF239" s="5">
        <v>2606</v>
      </c>
    </row>
    <row r="240" spans="1:32">
      <c r="A240" s="7" t="s">
        <v>635</v>
      </c>
      <c r="B240" s="7" t="s">
        <v>647</v>
      </c>
      <c r="C240" s="7" t="s">
        <v>650</v>
      </c>
      <c r="D240" s="7" t="s">
        <v>651</v>
      </c>
      <c r="E240" s="7" t="str">
        <f t="shared" si="7"/>
        <v>MINI Aceman Aceman SE Favoured</v>
      </c>
      <c r="F240" s="10" t="s">
        <v>35</v>
      </c>
      <c r="G240" s="7" t="s">
        <v>462</v>
      </c>
      <c r="H240" s="7" t="s">
        <v>36</v>
      </c>
      <c r="I240" s="7">
        <v>1999000</v>
      </c>
      <c r="L240" s="7" t="s">
        <v>640</v>
      </c>
      <c r="M240" s="7" t="s">
        <v>641</v>
      </c>
      <c r="N240" s="7" t="s">
        <v>641</v>
      </c>
      <c r="Q240" s="7">
        <v>54.2</v>
      </c>
      <c r="R240" s="7">
        <v>405</v>
      </c>
      <c r="S240" s="7">
        <v>450</v>
      </c>
      <c r="T240" s="7" t="s">
        <v>389</v>
      </c>
      <c r="U240" s="7" t="s">
        <v>92</v>
      </c>
      <c r="V240" s="7" t="s">
        <v>92</v>
      </c>
      <c r="W240" s="7">
        <v>14.5</v>
      </c>
      <c r="X240" s="7">
        <v>145</v>
      </c>
      <c r="Y240" s="7">
        <v>160</v>
      </c>
      <c r="Z240" s="7">
        <v>330</v>
      </c>
      <c r="AA240" s="7" t="s">
        <v>40</v>
      </c>
      <c r="AB240" s="7">
        <v>2180</v>
      </c>
      <c r="AC240" s="5">
        <v>1843</v>
      </c>
      <c r="AD240" s="5">
        <v>4075</v>
      </c>
      <c r="AE240" s="5">
        <v>1514</v>
      </c>
      <c r="AF240" s="5">
        <v>2606</v>
      </c>
    </row>
    <row r="241" spans="1:32">
      <c r="A241" s="7" t="s">
        <v>635</v>
      </c>
      <c r="B241" s="7" t="s">
        <v>650</v>
      </c>
      <c r="C241" s="7" t="s">
        <v>650</v>
      </c>
      <c r="D241" s="7" t="s">
        <v>652</v>
      </c>
      <c r="E241" s="7" t="str">
        <f t="shared" si="7"/>
        <v>MINI Aceman John Cooper Works Aceman</v>
      </c>
      <c r="F241" s="10" t="s">
        <v>35</v>
      </c>
      <c r="G241" s="7" t="s">
        <v>462</v>
      </c>
      <c r="H241" s="7" t="s">
        <v>36</v>
      </c>
      <c r="I241" s="7">
        <v>2399000</v>
      </c>
      <c r="L241" s="7" t="s">
        <v>640</v>
      </c>
      <c r="M241" s="7" t="s">
        <v>641</v>
      </c>
      <c r="N241" s="7" t="s">
        <v>641</v>
      </c>
      <c r="Q241" s="7">
        <v>54.2</v>
      </c>
      <c r="R241" s="7">
        <v>355</v>
      </c>
      <c r="S241" s="7">
        <v>415</v>
      </c>
      <c r="T241" s="7" t="s">
        <v>389</v>
      </c>
      <c r="U241" s="7" t="s">
        <v>92</v>
      </c>
      <c r="V241" s="7" t="s">
        <v>92</v>
      </c>
      <c r="W241" s="7">
        <v>14.5</v>
      </c>
      <c r="X241" s="7">
        <v>142</v>
      </c>
      <c r="Y241" s="7">
        <v>190</v>
      </c>
      <c r="Z241" s="7">
        <v>350</v>
      </c>
      <c r="AA241" s="7" t="s">
        <v>40</v>
      </c>
      <c r="AB241" s="7">
        <v>2220</v>
      </c>
      <c r="AC241" s="5">
        <v>1843</v>
      </c>
      <c r="AD241" s="5">
        <v>4075</v>
      </c>
      <c r="AE241" s="5">
        <v>1514</v>
      </c>
      <c r="AF241" s="5">
        <v>2606</v>
      </c>
    </row>
    <row r="242" spans="1:32">
      <c r="A242" s="7" t="s">
        <v>635</v>
      </c>
      <c r="B242" s="7" t="s">
        <v>653</v>
      </c>
      <c r="C242" s="7" t="s">
        <v>653</v>
      </c>
      <c r="D242" s="7" t="s">
        <v>654</v>
      </c>
      <c r="E242" s="7" t="str">
        <f t="shared" si="7"/>
        <v>MINI Countryman EV Countryman SE</v>
      </c>
      <c r="F242" s="10" t="s">
        <v>35</v>
      </c>
      <c r="G242" s="7" t="s">
        <v>453</v>
      </c>
      <c r="H242" s="7" t="s">
        <v>36</v>
      </c>
      <c r="I242" s="7">
        <v>3399000</v>
      </c>
      <c r="L242" s="7" t="s">
        <v>655</v>
      </c>
      <c r="M242" s="7" t="s">
        <v>91</v>
      </c>
      <c r="N242" s="7" t="s">
        <v>91</v>
      </c>
      <c r="Q242" s="7" t="s">
        <v>656</v>
      </c>
      <c r="R242" s="7">
        <v>432</v>
      </c>
      <c r="S242" s="7">
        <v>462</v>
      </c>
      <c r="T242" s="7" t="s">
        <v>389</v>
      </c>
      <c r="U242" s="7" t="s">
        <v>92</v>
      </c>
      <c r="V242" s="7" t="s">
        <v>92</v>
      </c>
      <c r="W242" s="7">
        <v>18.5</v>
      </c>
      <c r="X242" s="7">
        <v>202</v>
      </c>
      <c r="Y242" s="7">
        <v>230</v>
      </c>
      <c r="Z242" s="7">
        <v>494</v>
      </c>
      <c r="AA242" s="7" t="s">
        <v>40</v>
      </c>
      <c r="AB242" s="7">
        <v>2500</v>
      </c>
      <c r="AC242" s="5">
        <v>1843</v>
      </c>
      <c r="AD242" s="5">
        <v>4447</v>
      </c>
      <c r="AE242" s="5">
        <v>1661</v>
      </c>
      <c r="AF242" s="5">
        <v>2692</v>
      </c>
    </row>
    <row r="243" spans="1:32">
      <c r="A243" s="7" t="s">
        <v>635</v>
      </c>
      <c r="B243" s="7" t="s">
        <v>657</v>
      </c>
      <c r="C243" s="7" t="s">
        <v>657</v>
      </c>
      <c r="D243" s="7" t="s">
        <v>658</v>
      </c>
      <c r="E243" s="7" t="str">
        <f t="shared" si="7"/>
        <v>MINI Countryman Electric (SE) Countryman SE ALL4 Favoured</v>
      </c>
      <c r="F243" s="10" t="s">
        <v>35</v>
      </c>
      <c r="G243" s="7" t="s">
        <v>453</v>
      </c>
      <c r="H243" s="7" t="s">
        <v>36</v>
      </c>
      <c r="I243" s="7">
        <v>3399000</v>
      </c>
      <c r="L243" s="7" t="s">
        <v>655</v>
      </c>
      <c r="M243" s="7" t="s">
        <v>91</v>
      </c>
      <c r="N243" s="7" t="s">
        <v>91</v>
      </c>
      <c r="Q243" s="7" t="s">
        <v>656</v>
      </c>
      <c r="R243" s="7">
        <v>432</v>
      </c>
      <c r="S243" s="7">
        <v>462</v>
      </c>
      <c r="T243" s="7" t="s">
        <v>389</v>
      </c>
      <c r="U243" s="7" t="s">
        <v>92</v>
      </c>
      <c r="V243" s="7" t="s">
        <v>92</v>
      </c>
      <c r="W243" s="7">
        <v>18.5</v>
      </c>
      <c r="X243" s="7">
        <v>202</v>
      </c>
      <c r="Y243" s="7">
        <v>230</v>
      </c>
      <c r="Z243" s="7">
        <v>494</v>
      </c>
      <c r="AA243" s="7" t="s">
        <v>40</v>
      </c>
      <c r="AB243" s="7">
        <v>2500</v>
      </c>
      <c r="AC243" s="5">
        <v>1843</v>
      </c>
      <c r="AD243" s="5">
        <v>4447</v>
      </c>
      <c r="AE243" s="5">
        <v>1661</v>
      </c>
      <c r="AF243" s="5">
        <v>2692</v>
      </c>
    </row>
    <row r="244" spans="1:32">
      <c r="A244" s="7" t="s">
        <v>635</v>
      </c>
      <c r="B244" s="7" t="s">
        <v>657</v>
      </c>
      <c r="C244" s="7" t="s">
        <v>657</v>
      </c>
      <c r="D244" s="7" t="s">
        <v>659</v>
      </c>
      <c r="E244" s="7" t="str">
        <f t="shared" si="7"/>
        <v>MINI Countryman Electric (SE) Countryman SE ALL4 JCW Trim</v>
      </c>
      <c r="F244" s="10" t="s">
        <v>35</v>
      </c>
      <c r="G244" s="7" t="s">
        <v>453</v>
      </c>
      <c r="H244" s="7" t="s">
        <v>36</v>
      </c>
      <c r="I244" s="7">
        <v>3399000</v>
      </c>
      <c r="L244" s="7" t="s">
        <v>655</v>
      </c>
      <c r="M244" s="7" t="s">
        <v>91</v>
      </c>
      <c r="N244" s="7" t="s">
        <v>91</v>
      </c>
      <c r="Q244" s="7" t="s">
        <v>656</v>
      </c>
      <c r="R244" s="7">
        <v>432</v>
      </c>
      <c r="S244" s="7">
        <v>462</v>
      </c>
      <c r="T244" s="7" t="s">
        <v>389</v>
      </c>
      <c r="U244" s="7" t="s">
        <v>92</v>
      </c>
      <c r="V244" s="7" t="s">
        <v>92</v>
      </c>
      <c r="W244" s="7">
        <v>18.5</v>
      </c>
      <c r="X244" s="7">
        <v>202</v>
      </c>
      <c r="Y244" s="7">
        <v>230</v>
      </c>
      <c r="Z244" s="7">
        <v>494</v>
      </c>
      <c r="AA244" s="7" t="s">
        <v>40</v>
      </c>
      <c r="AB244" s="7">
        <v>2500</v>
      </c>
      <c r="AC244" s="5">
        <v>1843</v>
      </c>
      <c r="AD244" s="5">
        <v>4447</v>
      </c>
      <c r="AE244" s="5">
        <v>1661</v>
      </c>
      <c r="AF244" s="5">
        <v>2692</v>
      </c>
    </row>
    <row r="245" spans="1:32">
      <c r="A245" s="7" t="s">
        <v>660</v>
      </c>
      <c r="B245" s="7" t="s">
        <v>661</v>
      </c>
      <c r="C245" s="7" t="s">
        <v>661</v>
      </c>
      <c r="E245" s="7" t="str">
        <f t="shared" si="7"/>
        <v xml:space="preserve">AUDI E-TRON EV </v>
      </c>
      <c r="F245" s="10" t="s">
        <v>35</v>
      </c>
      <c r="G245" s="5" t="s">
        <v>662</v>
      </c>
      <c r="H245" s="7" t="s">
        <v>36</v>
      </c>
      <c r="I245" s="6">
        <v>5099000</v>
      </c>
      <c r="L245" s="7" t="s">
        <v>663</v>
      </c>
      <c r="M245" s="7" t="s">
        <v>519</v>
      </c>
      <c r="N245" s="7" t="s">
        <v>519</v>
      </c>
      <c r="Q245" s="5">
        <v>95</v>
      </c>
      <c r="R245" s="5">
        <v>417</v>
      </c>
      <c r="S245" s="5">
        <v>460</v>
      </c>
      <c r="T245" s="7" t="s">
        <v>389</v>
      </c>
      <c r="U245" s="7" t="s">
        <v>92</v>
      </c>
      <c r="V245" s="7" t="s">
        <v>92</v>
      </c>
      <c r="W245" s="5">
        <v>22.9</v>
      </c>
      <c r="X245" s="7">
        <v>172</v>
      </c>
      <c r="Y245" s="5">
        <v>265</v>
      </c>
      <c r="Z245" s="5">
        <v>561</v>
      </c>
      <c r="AA245" s="7" t="s">
        <v>40</v>
      </c>
      <c r="AB245" s="6">
        <v>3130</v>
      </c>
      <c r="AC245" s="5">
        <v>1935</v>
      </c>
      <c r="AD245" s="5">
        <v>4901</v>
      </c>
      <c r="AE245" s="5">
        <v>1629</v>
      </c>
      <c r="AF245" s="5">
        <v>2928</v>
      </c>
    </row>
    <row r="246" spans="1:32">
      <c r="A246" s="7" t="s">
        <v>660</v>
      </c>
      <c r="B246" s="7" t="s">
        <v>664</v>
      </c>
      <c r="C246" s="7" t="s">
        <v>664</v>
      </c>
      <c r="D246" s="7" t="s">
        <v>130</v>
      </c>
      <c r="E246" s="7" t="str">
        <f t="shared" si="7"/>
        <v>AUDI Q6 E-TRON EV Performance</v>
      </c>
      <c r="F246" s="10" t="s">
        <v>35</v>
      </c>
      <c r="G246" s="7" t="s">
        <v>662</v>
      </c>
      <c r="H246" s="7" t="s">
        <v>36</v>
      </c>
      <c r="I246" s="7">
        <v>4699000</v>
      </c>
      <c r="L246" s="7" t="s">
        <v>665</v>
      </c>
      <c r="M246" s="7" t="s">
        <v>91</v>
      </c>
      <c r="N246" s="7" t="s">
        <v>91</v>
      </c>
      <c r="Q246" s="7">
        <v>100</v>
      </c>
      <c r="R246" s="7">
        <v>641</v>
      </c>
      <c r="S246" s="7" t="s">
        <v>666</v>
      </c>
      <c r="T246" s="7" t="s">
        <v>389</v>
      </c>
      <c r="U246" s="7" t="s">
        <v>92</v>
      </c>
      <c r="V246" s="7" t="s">
        <v>92</v>
      </c>
      <c r="W246" s="7">
        <v>19.100000000000001</v>
      </c>
      <c r="X246" s="7">
        <v>168</v>
      </c>
      <c r="Y246" s="7">
        <v>240</v>
      </c>
      <c r="Z246" s="7">
        <v>485</v>
      </c>
      <c r="AA246" s="7" t="s">
        <v>40</v>
      </c>
      <c r="AB246" s="7">
        <v>2775</v>
      </c>
      <c r="AC246" s="5">
        <v>1935</v>
      </c>
      <c r="AD246" s="5">
        <v>4901</v>
      </c>
      <c r="AE246" s="5">
        <v>1629</v>
      </c>
      <c r="AF246" s="5">
        <v>2928</v>
      </c>
    </row>
    <row r="247" spans="1:32">
      <c r="A247" s="7" t="s">
        <v>660</v>
      </c>
      <c r="B247" s="7" t="s">
        <v>667</v>
      </c>
      <c r="C247" s="7" t="s">
        <v>667</v>
      </c>
      <c r="D247" s="7" t="s">
        <v>668</v>
      </c>
      <c r="E247" s="7" t="str">
        <f t="shared" si="7"/>
        <v>AUDI Q8 E-TRON EV  50 quattro</v>
      </c>
      <c r="F247" s="10" t="s">
        <v>35</v>
      </c>
      <c r="G247" s="7" t="s">
        <v>669</v>
      </c>
      <c r="H247" s="7" t="s">
        <v>36</v>
      </c>
      <c r="I247" s="7">
        <v>4699000</v>
      </c>
      <c r="L247" s="7" t="s">
        <v>665</v>
      </c>
      <c r="M247" s="7" t="s">
        <v>519</v>
      </c>
      <c r="N247" s="7" t="s">
        <v>519</v>
      </c>
      <c r="Q247" s="7">
        <v>95</v>
      </c>
      <c r="R247" s="7" t="s">
        <v>670</v>
      </c>
      <c r="S247" s="7">
        <v>530</v>
      </c>
      <c r="T247" s="7" t="s">
        <v>389</v>
      </c>
      <c r="U247" s="7" t="s">
        <v>92</v>
      </c>
      <c r="V247" s="7" t="s">
        <v>92</v>
      </c>
      <c r="W247" s="7">
        <v>19.600000000000001</v>
      </c>
      <c r="X247" s="7">
        <v>168</v>
      </c>
      <c r="Y247" s="7">
        <v>250</v>
      </c>
      <c r="Z247" s="7">
        <v>540</v>
      </c>
      <c r="AA247" s="7" t="s">
        <v>40</v>
      </c>
      <c r="AB247" s="7">
        <v>3170</v>
      </c>
      <c r="AC247" s="5">
        <v>1965</v>
      </c>
      <c r="AD247" s="5">
        <v>4771</v>
      </c>
      <c r="AE247" s="5">
        <v>1648</v>
      </c>
      <c r="AF247" s="5">
        <v>2899</v>
      </c>
    </row>
    <row r="248" spans="1:32">
      <c r="A248" s="7" t="s">
        <v>660</v>
      </c>
      <c r="B248" s="7" t="s">
        <v>671</v>
      </c>
      <c r="C248" s="7" t="s">
        <v>671</v>
      </c>
      <c r="D248" s="7" t="s">
        <v>668</v>
      </c>
      <c r="E248" s="7" t="str">
        <f t="shared" si="7"/>
        <v>AUDI Q8 e-tron (Boost Mode)  50 quattro</v>
      </c>
      <c r="F248" s="10" t="s">
        <v>35</v>
      </c>
      <c r="G248" s="7" t="s">
        <v>669</v>
      </c>
      <c r="H248" s="7" t="s">
        <v>36</v>
      </c>
      <c r="I248" s="7">
        <v>4699000</v>
      </c>
      <c r="L248" s="7" t="s">
        <v>665</v>
      </c>
      <c r="M248" s="7" t="s">
        <v>91</v>
      </c>
      <c r="N248" s="7" t="s">
        <v>91</v>
      </c>
      <c r="Q248" s="7">
        <v>95</v>
      </c>
      <c r="R248" s="7" t="s">
        <v>672</v>
      </c>
      <c r="S248" s="7">
        <v>531</v>
      </c>
      <c r="T248" s="7" t="s">
        <v>389</v>
      </c>
      <c r="U248" s="7" t="s">
        <v>92</v>
      </c>
      <c r="V248" s="7" t="s">
        <v>92</v>
      </c>
      <c r="W248" s="7">
        <v>19.600000000000001</v>
      </c>
      <c r="X248" s="7">
        <v>168</v>
      </c>
      <c r="Y248" s="7">
        <v>250</v>
      </c>
      <c r="Z248" s="7">
        <v>664</v>
      </c>
      <c r="AA248" s="7" t="s">
        <v>40</v>
      </c>
      <c r="AB248" s="7">
        <v>3170</v>
      </c>
      <c r="AC248" s="5">
        <v>1935</v>
      </c>
      <c r="AD248" s="5">
        <v>4915</v>
      </c>
      <c r="AE248" s="5">
        <v>1619</v>
      </c>
      <c r="AF248" s="5">
        <v>2928</v>
      </c>
    </row>
    <row r="249" spans="1:32">
      <c r="A249" s="7" t="s">
        <v>660</v>
      </c>
      <c r="B249" s="7" t="s">
        <v>673</v>
      </c>
      <c r="C249" s="7" t="s">
        <v>673</v>
      </c>
      <c r="D249" s="7" t="s">
        <v>674</v>
      </c>
      <c r="E249" s="7" t="str">
        <f t="shared" si="7"/>
        <v>AUDI Q8 e-tron โหมดปกติ 55 quattro Black Edition</v>
      </c>
      <c r="F249" s="10" t="s">
        <v>35</v>
      </c>
      <c r="G249" s="7" t="s">
        <v>669</v>
      </c>
      <c r="H249" s="7" t="s">
        <v>36</v>
      </c>
      <c r="I249" s="7">
        <v>5499000</v>
      </c>
      <c r="L249" s="7" t="s">
        <v>590</v>
      </c>
      <c r="M249" s="7" t="s">
        <v>519</v>
      </c>
      <c r="N249" s="7" t="s">
        <v>519</v>
      </c>
      <c r="Q249" s="7">
        <v>114</v>
      </c>
      <c r="R249" s="7" t="s">
        <v>675</v>
      </c>
      <c r="S249" s="7">
        <v>621</v>
      </c>
      <c r="T249" s="7" t="s">
        <v>389</v>
      </c>
      <c r="U249" s="7" t="s">
        <v>92</v>
      </c>
      <c r="V249" s="7" t="s">
        <v>92</v>
      </c>
      <c r="W249" s="7">
        <v>24.4</v>
      </c>
      <c r="X249" s="7">
        <v>172</v>
      </c>
      <c r="Y249" s="7">
        <v>300</v>
      </c>
      <c r="Z249" s="7" t="s">
        <v>676</v>
      </c>
      <c r="AA249" s="7" t="s">
        <v>40</v>
      </c>
      <c r="AB249" s="7">
        <v>3180</v>
      </c>
      <c r="AC249" s="5">
        <v>1935</v>
      </c>
      <c r="AD249" s="5">
        <v>4915</v>
      </c>
      <c r="AE249" s="5">
        <v>1619</v>
      </c>
      <c r="AF249" s="5">
        <v>2928</v>
      </c>
    </row>
    <row r="250" spans="1:32">
      <c r="A250" s="7" t="s">
        <v>660</v>
      </c>
      <c r="B250" s="7" t="s">
        <v>671</v>
      </c>
      <c r="C250" s="7" t="s">
        <v>671</v>
      </c>
      <c r="D250" s="7" t="s">
        <v>674</v>
      </c>
      <c r="E250" s="7" t="str">
        <f t="shared" si="7"/>
        <v>AUDI Q8 e-tron (Boost Mode) 55 quattro Black Edition</v>
      </c>
      <c r="F250" s="10" t="s">
        <v>35</v>
      </c>
      <c r="G250" s="7" t="s">
        <v>669</v>
      </c>
      <c r="H250" s="7" t="s">
        <v>36</v>
      </c>
      <c r="I250" s="7">
        <v>5499000</v>
      </c>
      <c r="L250" s="7" t="s">
        <v>590</v>
      </c>
      <c r="M250" s="7" t="s">
        <v>519</v>
      </c>
      <c r="N250" s="7" t="s">
        <v>519</v>
      </c>
      <c r="Q250" s="7">
        <v>114</v>
      </c>
      <c r="R250" s="7" t="s">
        <v>677</v>
      </c>
      <c r="S250" s="7">
        <v>621</v>
      </c>
      <c r="T250" s="7" t="s">
        <v>389</v>
      </c>
      <c r="U250" s="7" t="s">
        <v>92</v>
      </c>
      <c r="V250" s="7" t="s">
        <v>92</v>
      </c>
      <c r="W250" s="7">
        <v>24.4</v>
      </c>
      <c r="X250" s="7">
        <v>172</v>
      </c>
      <c r="Y250" s="7">
        <v>300</v>
      </c>
      <c r="Z250" s="7">
        <v>664</v>
      </c>
      <c r="AA250" s="7" t="s">
        <v>40</v>
      </c>
      <c r="AB250" s="7">
        <v>3180</v>
      </c>
      <c r="AC250" s="5">
        <v>1935</v>
      </c>
      <c r="AD250" s="5">
        <v>4915</v>
      </c>
      <c r="AE250" s="5">
        <v>1619</v>
      </c>
      <c r="AF250" s="5">
        <v>2928</v>
      </c>
    </row>
    <row r="251" spans="1:32">
      <c r="A251" s="7" t="s">
        <v>660</v>
      </c>
      <c r="B251" s="7" t="s">
        <v>678</v>
      </c>
      <c r="C251" s="7" t="s">
        <v>678</v>
      </c>
      <c r="D251" s="7" t="s">
        <v>679</v>
      </c>
      <c r="E251" s="7" t="str">
        <f t="shared" si="7"/>
        <v>AUDI Q8 Sportback e-tron โหมดปกติ  Sportback e-tron 50 quattro S line </v>
      </c>
      <c r="F251" s="10" t="s">
        <v>35</v>
      </c>
      <c r="G251" s="7" t="s">
        <v>680</v>
      </c>
      <c r="H251" s="7" t="s">
        <v>36</v>
      </c>
      <c r="I251" s="7">
        <v>4999000</v>
      </c>
      <c r="L251" s="7" t="s">
        <v>663</v>
      </c>
      <c r="M251" s="7" t="s">
        <v>519</v>
      </c>
      <c r="N251" s="7" t="s">
        <v>519</v>
      </c>
      <c r="Q251" s="7">
        <v>95</v>
      </c>
      <c r="R251" s="7" t="s">
        <v>670</v>
      </c>
      <c r="S251" s="7">
        <v>542</v>
      </c>
      <c r="T251" s="7" t="s">
        <v>389</v>
      </c>
      <c r="U251" s="7" t="s">
        <v>92</v>
      </c>
      <c r="V251" s="7" t="s">
        <v>92</v>
      </c>
      <c r="W251" s="7">
        <v>24</v>
      </c>
      <c r="X251" s="7">
        <v>172</v>
      </c>
      <c r="Y251" s="7">
        <v>250</v>
      </c>
      <c r="Z251" s="7" t="s">
        <v>681</v>
      </c>
      <c r="AA251" s="7" t="s">
        <v>40</v>
      </c>
      <c r="AB251" s="7">
        <v>3170</v>
      </c>
      <c r="AC251" s="5">
        <v>1935</v>
      </c>
      <c r="AD251" s="5">
        <v>4915</v>
      </c>
      <c r="AE251" s="5">
        <v>1619</v>
      </c>
      <c r="AF251" s="5">
        <v>2928</v>
      </c>
    </row>
    <row r="252" spans="1:32">
      <c r="A252" s="7" t="s">
        <v>660</v>
      </c>
      <c r="B252" s="7" t="s">
        <v>682</v>
      </c>
      <c r="C252" s="7" t="s">
        <v>682</v>
      </c>
      <c r="D252" s="7" t="s">
        <v>679</v>
      </c>
      <c r="E252" s="7" t="str">
        <f t="shared" si="7"/>
        <v>AUDI Q8 Sportback e-tron (Boost Mode)  Sportback e-tron 50 quattro S line </v>
      </c>
      <c r="F252" s="10" t="s">
        <v>35</v>
      </c>
      <c r="G252" s="7" t="s">
        <v>680</v>
      </c>
      <c r="H252" s="7" t="s">
        <v>36</v>
      </c>
      <c r="I252" s="7">
        <v>5799000</v>
      </c>
      <c r="L252" s="7" t="s">
        <v>663</v>
      </c>
      <c r="M252" s="7" t="s">
        <v>519</v>
      </c>
      <c r="N252" s="7" t="s">
        <v>519</v>
      </c>
      <c r="Q252" s="7">
        <v>114</v>
      </c>
      <c r="R252" s="7" t="s">
        <v>672</v>
      </c>
      <c r="S252" s="7">
        <v>543</v>
      </c>
      <c r="T252" s="7" t="s">
        <v>389</v>
      </c>
      <c r="U252" s="7" t="s">
        <v>92</v>
      </c>
      <c r="V252" s="7" t="s">
        <v>92</v>
      </c>
      <c r="W252" s="7">
        <v>24</v>
      </c>
      <c r="X252" s="7">
        <v>172</v>
      </c>
      <c r="Y252" s="7">
        <v>250</v>
      </c>
      <c r="Z252" s="7">
        <v>664</v>
      </c>
      <c r="AA252" s="7" t="s">
        <v>40</v>
      </c>
      <c r="AB252" s="7">
        <v>3170</v>
      </c>
      <c r="AC252" s="5">
        <v>1935</v>
      </c>
      <c r="AD252" s="5">
        <v>4915</v>
      </c>
      <c r="AE252" s="5">
        <v>1619</v>
      </c>
      <c r="AF252" s="5">
        <v>2928</v>
      </c>
    </row>
    <row r="253" spans="1:32">
      <c r="A253" s="7" t="s">
        <v>660</v>
      </c>
      <c r="B253" s="7" t="s">
        <v>678</v>
      </c>
      <c r="C253" s="7" t="s">
        <v>678</v>
      </c>
      <c r="D253" s="7" t="s">
        <v>683</v>
      </c>
      <c r="E253" s="7" t="str">
        <f t="shared" si="7"/>
        <v>AUDI Q8 Sportback e-tron โหมดปกติ Sportback e-tron 55 quattro S line Black edition</v>
      </c>
      <c r="F253" s="10" t="s">
        <v>35</v>
      </c>
      <c r="G253" s="7" t="s">
        <v>680</v>
      </c>
      <c r="H253" s="7" t="s">
        <v>36</v>
      </c>
      <c r="I253" s="7">
        <v>5799000</v>
      </c>
      <c r="L253" s="7" t="s">
        <v>590</v>
      </c>
      <c r="M253" s="7" t="s">
        <v>519</v>
      </c>
      <c r="N253" s="7" t="s">
        <v>519</v>
      </c>
      <c r="Q253" s="7">
        <v>114</v>
      </c>
      <c r="R253" s="7" t="s">
        <v>675</v>
      </c>
      <c r="S253" s="7">
        <v>636</v>
      </c>
      <c r="T253" s="7" t="s">
        <v>389</v>
      </c>
      <c r="U253" s="7" t="s">
        <v>92</v>
      </c>
      <c r="V253" s="7" t="s">
        <v>92</v>
      </c>
      <c r="W253" s="7">
        <v>24.1</v>
      </c>
      <c r="X253" s="7">
        <v>172</v>
      </c>
      <c r="Y253" s="7">
        <v>300</v>
      </c>
      <c r="Z253" s="7">
        <v>561</v>
      </c>
      <c r="AA253" s="7" t="s">
        <v>40</v>
      </c>
      <c r="AB253" s="7">
        <v>3180</v>
      </c>
      <c r="AC253" s="5">
        <v>1935</v>
      </c>
      <c r="AD253" s="5">
        <v>4915</v>
      </c>
      <c r="AE253" s="5">
        <v>1619</v>
      </c>
      <c r="AF253" s="5">
        <v>2928</v>
      </c>
    </row>
    <row r="254" spans="1:32">
      <c r="A254" s="7" t="s">
        <v>660</v>
      </c>
      <c r="B254" s="7" t="s">
        <v>682</v>
      </c>
      <c r="C254" s="7" t="s">
        <v>682</v>
      </c>
      <c r="D254" s="7" t="s">
        <v>683</v>
      </c>
      <c r="E254" s="7" t="str">
        <f t="shared" si="7"/>
        <v>AUDI Q8 Sportback e-tron (Boost Mode) Sportback e-tron 55 quattro S line Black edition</v>
      </c>
      <c r="F254" s="10" t="s">
        <v>35</v>
      </c>
      <c r="G254" s="7" t="s">
        <v>680</v>
      </c>
      <c r="H254" s="7" t="s">
        <v>36</v>
      </c>
      <c r="I254" s="7">
        <v>5799000</v>
      </c>
      <c r="L254" s="7" t="s">
        <v>590</v>
      </c>
      <c r="M254" s="7" t="s">
        <v>519</v>
      </c>
      <c r="N254" s="7" t="s">
        <v>519</v>
      </c>
      <c r="Q254" s="7">
        <v>114</v>
      </c>
      <c r="R254" s="7" t="s">
        <v>677</v>
      </c>
      <c r="S254" s="7">
        <v>636</v>
      </c>
      <c r="T254" s="7" t="s">
        <v>389</v>
      </c>
      <c r="U254" s="7" t="s">
        <v>92</v>
      </c>
      <c r="V254" s="7" t="s">
        <v>92</v>
      </c>
      <c r="W254" s="7">
        <v>24.1</v>
      </c>
      <c r="X254" s="7">
        <v>172</v>
      </c>
      <c r="Y254" s="7">
        <v>300</v>
      </c>
      <c r="Z254" s="7">
        <v>664</v>
      </c>
      <c r="AA254" s="7" t="s">
        <v>40</v>
      </c>
      <c r="AB254" s="7">
        <v>3180</v>
      </c>
      <c r="AC254" s="5">
        <v>1935</v>
      </c>
      <c r="AD254" s="5">
        <v>4915</v>
      </c>
      <c r="AE254" s="5">
        <v>1619</v>
      </c>
      <c r="AF254" s="5">
        <v>2928</v>
      </c>
    </row>
    <row r="255" spans="1:32">
      <c r="A255" s="7" t="s">
        <v>660</v>
      </c>
      <c r="B255" s="7" t="s">
        <v>684</v>
      </c>
      <c r="C255" s="7" t="s">
        <v>684</v>
      </c>
      <c r="D255" s="7" t="s">
        <v>685</v>
      </c>
      <c r="E255" s="7" t="str">
        <f t="shared" si="7"/>
        <v>AUDI Audi e-tron GT quattro</v>
      </c>
      <c r="F255" s="10" t="s">
        <v>53</v>
      </c>
      <c r="G255" s="7" t="s">
        <v>53</v>
      </c>
      <c r="H255" s="7" t="s">
        <v>36</v>
      </c>
      <c r="I255" s="7">
        <v>6849000</v>
      </c>
      <c r="L255" s="7" t="s">
        <v>686</v>
      </c>
      <c r="M255" s="7" t="s">
        <v>415</v>
      </c>
      <c r="N255" s="7" t="s">
        <v>415</v>
      </c>
      <c r="Q255" s="7">
        <v>93.4</v>
      </c>
      <c r="R255" s="7">
        <v>487</v>
      </c>
      <c r="S255" s="7">
        <v>540</v>
      </c>
      <c r="T255" s="7" t="s">
        <v>389</v>
      </c>
      <c r="U255" s="7" t="s">
        <v>92</v>
      </c>
      <c r="V255" s="7" t="s">
        <v>92</v>
      </c>
      <c r="W255" s="7">
        <v>21.6</v>
      </c>
      <c r="X255" s="7">
        <v>125</v>
      </c>
      <c r="Y255" s="7">
        <v>350</v>
      </c>
      <c r="Z255" s="7">
        <v>630</v>
      </c>
      <c r="AA255" s="7" t="s">
        <v>40</v>
      </c>
      <c r="AB255" s="7">
        <v>2840</v>
      </c>
      <c r="AC255" s="5">
        <v>1935</v>
      </c>
      <c r="AD255" s="5">
        <v>4915</v>
      </c>
      <c r="AE255" s="5">
        <v>1619</v>
      </c>
      <c r="AF255" s="5">
        <v>2928</v>
      </c>
    </row>
    <row r="256" spans="1:32">
      <c r="A256" s="7" t="s">
        <v>660</v>
      </c>
      <c r="B256" s="7" t="s">
        <v>687</v>
      </c>
      <c r="C256" s="7" t="s">
        <v>687</v>
      </c>
      <c r="D256" s="7" t="s">
        <v>688</v>
      </c>
      <c r="E256" s="7" t="str">
        <f t="shared" si="7"/>
        <v>AUDI RS E-TRON RS e-tron GT quattro</v>
      </c>
      <c r="F256" s="10" t="s">
        <v>53</v>
      </c>
      <c r="G256" s="7" t="s">
        <v>53</v>
      </c>
      <c r="H256" s="7" t="s">
        <v>36</v>
      </c>
      <c r="I256" s="7">
        <v>10190000</v>
      </c>
      <c r="L256" s="7" t="s">
        <v>686</v>
      </c>
      <c r="M256" s="7" t="s">
        <v>415</v>
      </c>
      <c r="N256" s="7" t="s">
        <v>415</v>
      </c>
      <c r="Q256" s="7">
        <v>93.4</v>
      </c>
      <c r="R256" s="7">
        <v>472</v>
      </c>
      <c r="S256" s="7" t="s">
        <v>689</v>
      </c>
      <c r="T256" s="7" t="s">
        <v>389</v>
      </c>
      <c r="U256" s="7" t="s">
        <v>92</v>
      </c>
      <c r="V256" s="7" t="s">
        <v>92</v>
      </c>
      <c r="W256" s="7">
        <v>22.5</v>
      </c>
      <c r="X256" s="7">
        <v>125</v>
      </c>
      <c r="Y256" s="7">
        <v>475</v>
      </c>
      <c r="Z256" s="7">
        <v>830</v>
      </c>
      <c r="AA256" s="7" t="s">
        <v>40</v>
      </c>
      <c r="AB256" s="7">
        <v>2860</v>
      </c>
      <c r="AC256" s="5">
        <v>1964</v>
      </c>
      <c r="AD256" s="5">
        <v>4989</v>
      </c>
      <c r="AE256" s="5">
        <v>1414</v>
      </c>
      <c r="AF256" s="5">
        <v>2900</v>
      </c>
    </row>
    <row r="257" spans="1:32">
      <c r="A257" s="7" t="s">
        <v>660</v>
      </c>
      <c r="B257" s="7" t="s">
        <v>690</v>
      </c>
      <c r="C257" s="7" t="s">
        <v>690</v>
      </c>
      <c r="D257" s="7" t="s">
        <v>691</v>
      </c>
      <c r="E257" s="7" t="str">
        <f t="shared" si="7"/>
        <v>AUDI Audi e-tron GT โหมดปกติ GT quattro Performance</v>
      </c>
      <c r="F257" s="10" t="s">
        <v>53</v>
      </c>
      <c r="G257" s="7" t="s">
        <v>53</v>
      </c>
      <c r="H257" s="7" t="s">
        <v>36</v>
      </c>
      <c r="I257" s="7">
        <v>7249000</v>
      </c>
      <c r="L257" s="7" t="s">
        <v>686</v>
      </c>
      <c r="M257" s="7" t="s">
        <v>415</v>
      </c>
      <c r="N257" s="7" t="s">
        <v>415</v>
      </c>
      <c r="Q257" s="7">
        <v>93.4</v>
      </c>
      <c r="R257" s="7">
        <v>523</v>
      </c>
      <c r="S257" s="7">
        <v>540</v>
      </c>
      <c r="T257" s="7" t="s">
        <v>389</v>
      </c>
      <c r="U257" s="7" t="s">
        <v>92</v>
      </c>
      <c r="V257" s="7" t="s">
        <v>92</v>
      </c>
      <c r="W257" s="7">
        <v>20.6</v>
      </c>
      <c r="X257" s="7">
        <v>125</v>
      </c>
      <c r="Y257" s="7">
        <v>350</v>
      </c>
      <c r="Z257" s="7">
        <v>630</v>
      </c>
      <c r="AA257" s="7" t="s">
        <v>40</v>
      </c>
      <c r="AB257" s="7">
        <v>2840</v>
      </c>
      <c r="AC257" s="5">
        <v>1964</v>
      </c>
      <c r="AD257" s="5">
        <v>4990</v>
      </c>
      <c r="AE257" s="5">
        <v>1414</v>
      </c>
      <c r="AF257" s="5">
        <v>2900</v>
      </c>
    </row>
    <row r="258" spans="1:32">
      <c r="A258" s="7" t="s">
        <v>660</v>
      </c>
      <c r="B258" s="7" t="s">
        <v>692</v>
      </c>
      <c r="C258" s="7" t="s">
        <v>692</v>
      </c>
      <c r="D258" s="7" t="s">
        <v>691</v>
      </c>
      <c r="E258" s="7" t="str">
        <f t="shared" si="7"/>
        <v>AUDI Audi e-tron GT (Boost Mode) GT quattro Performance</v>
      </c>
      <c r="F258" s="10" t="s">
        <v>53</v>
      </c>
      <c r="G258" s="7" t="s">
        <v>53</v>
      </c>
      <c r="H258" s="7" t="s">
        <v>36</v>
      </c>
      <c r="I258" s="7">
        <v>7249000</v>
      </c>
      <c r="L258" s="7" t="s">
        <v>686</v>
      </c>
      <c r="M258" s="7" t="s">
        <v>415</v>
      </c>
      <c r="N258" s="7" t="s">
        <v>415</v>
      </c>
      <c r="Q258" s="7">
        <v>93.4</v>
      </c>
      <c r="R258" s="7">
        <v>523</v>
      </c>
      <c r="S258" s="7">
        <v>540</v>
      </c>
      <c r="T258" s="7" t="s">
        <v>389</v>
      </c>
      <c r="U258" s="7" t="s">
        <v>92</v>
      </c>
      <c r="V258" s="7" t="s">
        <v>92</v>
      </c>
      <c r="W258" s="7">
        <v>20.6</v>
      </c>
      <c r="X258" s="7">
        <v>125</v>
      </c>
      <c r="Y258" s="7">
        <v>390</v>
      </c>
      <c r="Z258" s="7">
        <v>630</v>
      </c>
      <c r="AA258" s="7" t="s">
        <v>40</v>
      </c>
      <c r="AB258" s="7">
        <v>2840</v>
      </c>
      <c r="AC258" s="5">
        <v>1964</v>
      </c>
      <c r="AD258" s="5">
        <v>4989</v>
      </c>
      <c r="AE258" s="5">
        <v>1414</v>
      </c>
      <c r="AF258" s="5">
        <v>2900</v>
      </c>
    </row>
    <row r="259" spans="1:32">
      <c r="A259" s="7" t="s">
        <v>693</v>
      </c>
      <c r="B259" s="7" t="s">
        <v>694</v>
      </c>
      <c r="C259" s="7" t="s">
        <v>695</v>
      </c>
      <c r="D259" s="7" t="s">
        <v>696</v>
      </c>
      <c r="E259" s="7" t="str">
        <f t="shared" ref="E259:E322" si="8">A259&amp;" "&amp;C259&amp;" "&amp;D259</f>
        <v>PORSCHE TAYCAN-EV Taycan (RWD)</v>
      </c>
      <c r="F259" s="10" t="s">
        <v>53</v>
      </c>
      <c r="G259" s="7" t="s">
        <v>697</v>
      </c>
      <c r="H259" s="7" t="s">
        <v>36</v>
      </c>
      <c r="I259" s="7">
        <v>6690000</v>
      </c>
      <c r="L259" s="7" t="s">
        <v>698</v>
      </c>
      <c r="M259" s="7" t="s">
        <v>415</v>
      </c>
      <c r="N259" s="7" t="s">
        <v>415</v>
      </c>
      <c r="Q259" s="7">
        <v>82.3</v>
      </c>
      <c r="R259" s="7">
        <v>566</v>
      </c>
      <c r="S259" s="7">
        <v>590</v>
      </c>
      <c r="T259" s="7" t="s">
        <v>389</v>
      </c>
      <c r="U259" s="7" t="s">
        <v>92</v>
      </c>
      <c r="V259" s="7" t="s">
        <v>92</v>
      </c>
      <c r="W259" s="7">
        <v>19.7</v>
      </c>
      <c r="X259" s="7">
        <v>127</v>
      </c>
      <c r="Y259" s="7">
        <v>300</v>
      </c>
      <c r="Z259" s="7" t="s">
        <v>699</v>
      </c>
      <c r="AA259" s="7" t="s">
        <v>40</v>
      </c>
      <c r="AB259" s="7">
        <v>2795</v>
      </c>
      <c r="AC259" s="5">
        <v>1964</v>
      </c>
      <c r="AD259" s="5">
        <v>4989</v>
      </c>
      <c r="AE259" s="5">
        <v>1414</v>
      </c>
      <c r="AF259" s="5">
        <v>2900</v>
      </c>
    </row>
    <row r="260" spans="1:32">
      <c r="A260" s="7" t="s">
        <v>693</v>
      </c>
      <c r="B260" s="7" t="s">
        <v>694</v>
      </c>
      <c r="C260" s="7" t="s">
        <v>694</v>
      </c>
      <c r="D260" s="7" t="s">
        <v>700</v>
      </c>
      <c r="E260" s="7" t="str">
        <f t="shared" si="8"/>
        <v>PORSCHE Taycan Taycan 4</v>
      </c>
      <c r="F260" s="10" t="s">
        <v>53</v>
      </c>
      <c r="G260" s="7" t="s">
        <v>701</v>
      </c>
      <c r="H260" s="7" t="s">
        <v>36</v>
      </c>
      <c r="I260" s="7">
        <v>7490000</v>
      </c>
      <c r="L260" s="7" t="s">
        <v>698</v>
      </c>
      <c r="M260" s="7" t="s">
        <v>415</v>
      </c>
      <c r="N260" s="7" t="s">
        <v>415</v>
      </c>
      <c r="Q260" s="7">
        <v>89</v>
      </c>
      <c r="R260" s="7">
        <v>643</v>
      </c>
      <c r="S260" s="7">
        <v>528</v>
      </c>
      <c r="T260" s="7" t="s">
        <v>389</v>
      </c>
      <c r="U260" s="7" t="s">
        <v>92</v>
      </c>
      <c r="V260" s="7" t="s">
        <v>92</v>
      </c>
      <c r="W260" s="7">
        <v>20.6</v>
      </c>
      <c r="X260" s="7">
        <v>126</v>
      </c>
      <c r="Y260" s="7">
        <v>300</v>
      </c>
      <c r="Z260" s="7">
        <v>410</v>
      </c>
      <c r="AA260" s="7" t="s">
        <v>40</v>
      </c>
      <c r="AB260" s="7">
        <v>2260</v>
      </c>
      <c r="AC260" s="5">
        <v>1966</v>
      </c>
      <c r="AD260" s="5">
        <v>4963</v>
      </c>
      <c r="AE260" s="5">
        <v>1381</v>
      </c>
      <c r="AF260" s="5">
        <v>2900</v>
      </c>
    </row>
    <row r="261" spans="1:32">
      <c r="A261" s="7" t="s">
        <v>693</v>
      </c>
      <c r="B261" s="7" t="s">
        <v>694</v>
      </c>
      <c r="C261" s="7" t="s">
        <v>694</v>
      </c>
      <c r="D261" s="7" t="s">
        <v>700</v>
      </c>
      <c r="E261" s="7" t="str">
        <f t="shared" si="8"/>
        <v>PORSCHE Taycan Taycan 4</v>
      </c>
      <c r="F261" s="10" t="s">
        <v>53</v>
      </c>
      <c r="G261" s="7" t="s">
        <v>701</v>
      </c>
      <c r="H261" s="7" t="s">
        <v>36</v>
      </c>
      <c r="I261" s="7">
        <v>7490000</v>
      </c>
      <c r="L261" s="7" t="s">
        <v>698</v>
      </c>
      <c r="M261" s="7" t="s">
        <v>415</v>
      </c>
      <c r="N261" s="7" t="s">
        <v>415</v>
      </c>
      <c r="Q261" s="7">
        <v>105</v>
      </c>
      <c r="R261" s="7">
        <v>643</v>
      </c>
      <c r="S261" s="7">
        <v>622</v>
      </c>
      <c r="T261" s="7" t="s">
        <v>389</v>
      </c>
      <c r="U261" s="7" t="s">
        <v>92</v>
      </c>
      <c r="V261" s="7" t="s">
        <v>92</v>
      </c>
      <c r="W261" s="7">
        <v>20.6</v>
      </c>
      <c r="X261" s="7">
        <v>126</v>
      </c>
      <c r="Y261" s="7">
        <v>300</v>
      </c>
      <c r="Z261" s="7">
        <v>585</v>
      </c>
      <c r="AA261" s="7" t="s">
        <v>40</v>
      </c>
      <c r="AB261" s="7">
        <v>2320</v>
      </c>
      <c r="AC261" s="5">
        <v>1966</v>
      </c>
      <c r="AD261" s="5">
        <v>4963</v>
      </c>
      <c r="AE261" s="5">
        <v>1381</v>
      </c>
      <c r="AF261" s="5">
        <v>2900</v>
      </c>
    </row>
    <row r="262" spans="1:32">
      <c r="A262" s="7" t="s">
        <v>693</v>
      </c>
      <c r="B262" s="7" t="s">
        <v>694</v>
      </c>
      <c r="C262" s="7" t="s">
        <v>694</v>
      </c>
      <c r="D262" s="7" t="s">
        <v>702</v>
      </c>
      <c r="E262" s="7" t="str">
        <f t="shared" si="8"/>
        <v>PORSCHE Taycan Taycan 4S</v>
      </c>
      <c r="F262" s="10" t="s">
        <v>53</v>
      </c>
      <c r="G262" s="7" t="s">
        <v>697</v>
      </c>
      <c r="H262" s="7" t="s">
        <v>36</v>
      </c>
      <c r="I262" s="7">
        <v>8290000</v>
      </c>
      <c r="L262" s="7" t="s">
        <v>586</v>
      </c>
      <c r="M262" s="7" t="s">
        <v>415</v>
      </c>
      <c r="N262" s="7" t="s">
        <v>415</v>
      </c>
      <c r="Q262" s="7">
        <v>89</v>
      </c>
      <c r="R262" s="7">
        <v>557</v>
      </c>
      <c r="S262" s="7">
        <v>557</v>
      </c>
      <c r="T262" s="7" t="s">
        <v>389</v>
      </c>
      <c r="U262" s="7" t="s">
        <v>92</v>
      </c>
      <c r="V262" s="7" t="s">
        <v>92</v>
      </c>
      <c r="W262" s="7">
        <v>20.7</v>
      </c>
      <c r="X262" s="7">
        <v>127</v>
      </c>
      <c r="Y262" s="7">
        <v>340</v>
      </c>
      <c r="Z262" s="7">
        <v>695</v>
      </c>
      <c r="AA262" s="7" t="s">
        <v>40</v>
      </c>
      <c r="AB262" s="7">
        <v>2700</v>
      </c>
      <c r="AC262" s="5">
        <v>1966</v>
      </c>
      <c r="AD262" s="5">
        <v>4963</v>
      </c>
      <c r="AE262" s="5">
        <v>1381</v>
      </c>
      <c r="AF262" s="5">
        <v>2900</v>
      </c>
    </row>
    <row r="263" spans="1:32">
      <c r="A263" s="7" t="s">
        <v>693</v>
      </c>
      <c r="B263" s="7" t="s">
        <v>694</v>
      </c>
      <c r="C263" s="7" t="s">
        <v>694</v>
      </c>
      <c r="D263" s="7" t="s">
        <v>703</v>
      </c>
      <c r="E263" s="7" t="str">
        <f t="shared" si="8"/>
        <v>PORSCHE Taycan Taycan 4S Plus</v>
      </c>
      <c r="F263" s="10" t="s">
        <v>53</v>
      </c>
      <c r="G263" s="7" t="s">
        <v>53</v>
      </c>
      <c r="H263" s="7" t="s">
        <v>36</v>
      </c>
      <c r="I263" s="7">
        <v>7556500</v>
      </c>
      <c r="L263" s="7" t="s">
        <v>686</v>
      </c>
      <c r="M263" s="7" t="s">
        <v>415</v>
      </c>
      <c r="N263" s="7" t="s">
        <v>415</v>
      </c>
      <c r="Q263" s="7">
        <v>93.4</v>
      </c>
      <c r="R263" s="7">
        <v>463</v>
      </c>
      <c r="S263" s="7">
        <v>625</v>
      </c>
      <c r="T263" s="7" t="s">
        <v>389</v>
      </c>
      <c r="U263" s="7" t="s">
        <v>92</v>
      </c>
      <c r="V263" s="7" t="s">
        <v>92</v>
      </c>
      <c r="W263" s="7">
        <v>20.399999999999999</v>
      </c>
      <c r="X263" s="7">
        <v>127</v>
      </c>
      <c r="Y263" s="7">
        <v>420</v>
      </c>
      <c r="Z263" s="7">
        <v>650</v>
      </c>
      <c r="AA263" s="7" t="s">
        <v>40</v>
      </c>
      <c r="AB263" s="7">
        <v>2880</v>
      </c>
      <c r="AC263" s="5">
        <v>1966</v>
      </c>
      <c r="AD263" s="5">
        <v>4963</v>
      </c>
      <c r="AE263" s="5">
        <v>1381</v>
      </c>
      <c r="AF263" s="5">
        <v>2900</v>
      </c>
    </row>
    <row r="264" spans="1:32">
      <c r="A264" s="7" t="s">
        <v>693</v>
      </c>
      <c r="B264" s="7" t="s">
        <v>694</v>
      </c>
      <c r="C264" s="7" t="s">
        <v>694</v>
      </c>
      <c r="D264" s="7" t="s">
        <v>703</v>
      </c>
      <c r="E264" s="7" t="str">
        <f t="shared" si="8"/>
        <v>PORSCHE Taycan Taycan 4S Plus</v>
      </c>
      <c r="F264" s="10" t="s">
        <v>53</v>
      </c>
      <c r="G264" s="7" t="s">
        <v>53</v>
      </c>
      <c r="H264" s="7" t="s">
        <v>36</v>
      </c>
      <c r="I264" s="7">
        <v>8290000</v>
      </c>
      <c r="L264" s="7" t="s">
        <v>698</v>
      </c>
      <c r="M264" s="7" t="s">
        <v>415</v>
      </c>
      <c r="N264" s="7" t="s">
        <v>415</v>
      </c>
      <c r="Q264" s="7">
        <v>105</v>
      </c>
      <c r="R264" s="7">
        <v>642</v>
      </c>
      <c r="S264" s="7">
        <v>557</v>
      </c>
      <c r="T264" s="7" t="s">
        <v>389</v>
      </c>
      <c r="U264" s="7" t="s">
        <v>92</v>
      </c>
      <c r="V264" s="7" t="s">
        <v>92</v>
      </c>
      <c r="W264" s="7">
        <v>20.7</v>
      </c>
      <c r="X264" s="7">
        <v>127</v>
      </c>
      <c r="Y264" s="7">
        <v>420</v>
      </c>
      <c r="Z264" s="7">
        <v>710</v>
      </c>
      <c r="AA264" s="7" t="s">
        <v>40</v>
      </c>
      <c r="AB264" s="7">
        <v>2880</v>
      </c>
      <c r="AC264" s="5">
        <v>1966</v>
      </c>
      <c r="AD264" s="5">
        <v>4963</v>
      </c>
      <c r="AE264" s="5">
        <v>1381</v>
      </c>
      <c r="AF264" s="5">
        <v>2900</v>
      </c>
    </row>
    <row r="265" spans="1:32">
      <c r="A265" s="7" t="s">
        <v>693</v>
      </c>
      <c r="B265" s="7" t="s">
        <v>694</v>
      </c>
      <c r="C265" s="7" t="s">
        <v>694</v>
      </c>
      <c r="D265" s="7" t="s">
        <v>704</v>
      </c>
      <c r="E265" s="7" t="str">
        <f t="shared" si="8"/>
        <v>PORSCHE Taycan Taycan Turbo</v>
      </c>
      <c r="F265" s="10" t="s">
        <v>53</v>
      </c>
      <c r="G265" s="7" t="s">
        <v>697</v>
      </c>
      <c r="H265" s="7" t="s">
        <v>36</v>
      </c>
      <c r="I265" s="7" t="s">
        <v>705</v>
      </c>
      <c r="L265" s="7" t="s">
        <v>698</v>
      </c>
      <c r="M265" s="7" t="s">
        <v>415</v>
      </c>
      <c r="N265" s="7" t="s">
        <v>415</v>
      </c>
      <c r="Q265" s="7">
        <v>97</v>
      </c>
      <c r="R265" s="7">
        <v>634</v>
      </c>
      <c r="S265" s="7">
        <v>626</v>
      </c>
      <c r="T265" s="7" t="s">
        <v>389</v>
      </c>
      <c r="U265" s="7" t="s">
        <v>92</v>
      </c>
      <c r="V265" s="7" t="s">
        <v>92</v>
      </c>
      <c r="W265" s="7">
        <v>21.6</v>
      </c>
      <c r="X265" s="7">
        <v>126</v>
      </c>
      <c r="Y265" s="7">
        <v>650</v>
      </c>
      <c r="Z265" s="7">
        <v>890</v>
      </c>
      <c r="AA265" s="7" t="s">
        <v>40</v>
      </c>
      <c r="AB265" s="7">
        <v>2880</v>
      </c>
      <c r="AC265" s="5">
        <v>1966</v>
      </c>
      <c r="AD265" s="5">
        <v>4963</v>
      </c>
      <c r="AE265" s="5">
        <v>1381</v>
      </c>
      <c r="AF265" s="5">
        <v>2900</v>
      </c>
    </row>
    <row r="266" spans="1:32">
      <c r="A266" s="7" t="s">
        <v>693</v>
      </c>
      <c r="B266" s="7" t="s">
        <v>694</v>
      </c>
      <c r="C266" s="7" t="s">
        <v>694</v>
      </c>
      <c r="D266" s="7" t="s">
        <v>706</v>
      </c>
      <c r="E266" s="7" t="str">
        <f t="shared" si="8"/>
        <v>PORSCHE Taycan Taycan Turbo S</v>
      </c>
      <c r="F266" s="10" t="s">
        <v>53</v>
      </c>
      <c r="G266" s="7" t="s">
        <v>697</v>
      </c>
      <c r="H266" s="7" t="s">
        <v>36</v>
      </c>
      <c r="I266" s="7">
        <v>11700000</v>
      </c>
      <c r="L266" s="7" t="s">
        <v>686</v>
      </c>
      <c r="M266" s="7" t="s">
        <v>415</v>
      </c>
      <c r="N266" s="7" t="s">
        <v>415</v>
      </c>
      <c r="Q266" s="7">
        <v>93.4</v>
      </c>
      <c r="R266" s="7">
        <v>412</v>
      </c>
      <c r="S266" s="7">
        <v>467</v>
      </c>
      <c r="T266" s="7" t="s">
        <v>389</v>
      </c>
      <c r="U266" s="7" t="s">
        <v>92</v>
      </c>
      <c r="V266" s="7" t="s">
        <v>92</v>
      </c>
      <c r="W266" s="7">
        <v>24.3</v>
      </c>
      <c r="X266" s="7">
        <v>126</v>
      </c>
      <c r="Y266" s="7">
        <v>460</v>
      </c>
      <c r="Z266" s="7">
        <v>1050</v>
      </c>
      <c r="AA266" s="7" t="s">
        <v>40</v>
      </c>
      <c r="AB266" s="7">
        <v>2870</v>
      </c>
      <c r="AC266" s="5">
        <v>1966</v>
      </c>
      <c r="AD266" s="5">
        <v>4963</v>
      </c>
      <c r="AE266" s="5">
        <v>1381</v>
      </c>
      <c r="AF266" s="5">
        <v>2900</v>
      </c>
    </row>
    <row r="267" spans="1:32">
      <c r="A267" s="7" t="s">
        <v>693</v>
      </c>
      <c r="B267" s="7" t="s">
        <v>694</v>
      </c>
      <c r="C267" s="7" t="s">
        <v>694</v>
      </c>
      <c r="D267" s="7" t="s">
        <v>706</v>
      </c>
      <c r="E267" s="7" t="str">
        <f t="shared" si="8"/>
        <v>PORSCHE Taycan Taycan Turbo S</v>
      </c>
      <c r="F267" s="10" t="s">
        <v>53</v>
      </c>
      <c r="G267" s="7" t="s">
        <v>697</v>
      </c>
      <c r="H267" s="7" t="s">
        <v>36</v>
      </c>
      <c r="I267" s="7">
        <v>13090000</v>
      </c>
      <c r="L267" s="7" t="s">
        <v>698</v>
      </c>
      <c r="M267" s="7" t="s">
        <v>415</v>
      </c>
      <c r="N267" s="7" t="s">
        <v>415</v>
      </c>
      <c r="Q267" s="7">
        <v>105</v>
      </c>
      <c r="R267" s="7">
        <v>630</v>
      </c>
      <c r="S267" s="7">
        <v>626</v>
      </c>
      <c r="T267" s="7" t="s">
        <v>389</v>
      </c>
      <c r="U267" s="7" t="s">
        <v>92</v>
      </c>
      <c r="V267" s="7" t="s">
        <v>92</v>
      </c>
      <c r="W267" s="7">
        <v>17.899999999999999</v>
      </c>
      <c r="X267" s="7">
        <v>126</v>
      </c>
      <c r="Y267" s="7">
        <v>570</v>
      </c>
      <c r="Z267" s="7">
        <v>1110</v>
      </c>
      <c r="AA267" s="7" t="s">
        <v>40</v>
      </c>
      <c r="AB267" s="7">
        <v>2870</v>
      </c>
      <c r="AC267" s="5">
        <v>1966</v>
      </c>
      <c r="AD267" s="5">
        <v>4968</v>
      </c>
      <c r="AE267" s="5">
        <v>1378</v>
      </c>
      <c r="AF267" s="5">
        <v>2900</v>
      </c>
    </row>
    <row r="268" spans="1:32">
      <c r="A268" s="7" t="s">
        <v>693</v>
      </c>
      <c r="B268" s="7" t="s">
        <v>694</v>
      </c>
      <c r="C268" s="7" t="s">
        <v>694</v>
      </c>
      <c r="D268" s="7" t="s">
        <v>707</v>
      </c>
      <c r="E268" s="7" t="str">
        <f t="shared" si="8"/>
        <v>PORSCHE Taycan Taycan Turbo GT</v>
      </c>
      <c r="F268" s="10" t="s">
        <v>53</v>
      </c>
      <c r="G268" s="7" t="s">
        <v>697</v>
      </c>
      <c r="H268" s="7" t="s">
        <v>36</v>
      </c>
      <c r="I268" s="7">
        <v>14490000</v>
      </c>
      <c r="L268" s="7" t="s">
        <v>698</v>
      </c>
      <c r="M268" s="7" t="s">
        <v>415</v>
      </c>
      <c r="N268" s="7" t="s">
        <v>415</v>
      </c>
      <c r="Q268" s="7">
        <v>97</v>
      </c>
      <c r="R268" s="7">
        <v>554</v>
      </c>
      <c r="S268" s="7">
        <v>605</v>
      </c>
      <c r="T268" s="7" t="s">
        <v>389</v>
      </c>
      <c r="U268" s="7" t="s">
        <v>92</v>
      </c>
      <c r="V268" s="7" t="s">
        <v>92</v>
      </c>
      <c r="W268" s="7">
        <v>21.1</v>
      </c>
      <c r="X268" s="7">
        <v>126</v>
      </c>
      <c r="Y268" s="7">
        <v>580</v>
      </c>
      <c r="Z268" s="7">
        <v>1240</v>
      </c>
      <c r="AA268" s="7" t="s">
        <v>40</v>
      </c>
      <c r="AB268" s="7">
        <v>2710</v>
      </c>
      <c r="AC268" s="5">
        <v>1966</v>
      </c>
      <c r="AD268" s="5">
        <v>4963</v>
      </c>
      <c r="AE268" s="5">
        <v>1381</v>
      </c>
      <c r="AF268" s="5">
        <v>2900</v>
      </c>
    </row>
    <row r="269" spans="1:32">
      <c r="A269" s="7" t="s">
        <v>693</v>
      </c>
      <c r="B269" s="7" t="s">
        <v>694</v>
      </c>
      <c r="C269" s="7" t="s">
        <v>694</v>
      </c>
      <c r="D269" s="7" t="s">
        <v>708</v>
      </c>
      <c r="E269" s="7" t="str">
        <f t="shared" si="8"/>
        <v>PORSCHE Taycan Taycan GTS</v>
      </c>
      <c r="F269" s="10" t="s">
        <v>53</v>
      </c>
      <c r="G269" s="7" t="s">
        <v>53</v>
      </c>
      <c r="H269" s="7" t="s">
        <v>36</v>
      </c>
      <c r="I269" s="7">
        <v>9490000</v>
      </c>
      <c r="L269" s="7" t="s">
        <v>698</v>
      </c>
      <c r="M269" s="7" t="s">
        <v>415</v>
      </c>
      <c r="N269" s="7" t="s">
        <v>415</v>
      </c>
      <c r="Q269" s="7">
        <v>97</v>
      </c>
      <c r="R269" s="7">
        <v>630</v>
      </c>
      <c r="S269" s="7">
        <v>624</v>
      </c>
      <c r="T269" s="7" t="s">
        <v>389</v>
      </c>
      <c r="U269" s="7" t="s">
        <v>92</v>
      </c>
      <c r="V269" s="7" t="s">
        <v>92</v>
      </c>
      <c r="W269" s="7">
        <v>20.7</v>
      </c>
      <c r="X269" s="7">
        <v>126</v>
      </c>
      <c r="Y269" s="7">
        <v>515</v>
      </c>
      <c r="Z269" s="7">
        <v>790</v>
      </c>
      <c r="AA269" s="7" t="s">
        <v>40</v>
      </c>
      <c r="AB269" s="7">
        <v>2875</v>
      </c>
      <c r="AC269" s="5">
        <v>1966</v>
      </c>
      <c r="AD269" s="5">
        <v>4963</v>
      </c>
      <c r="AE269" s="5">
        <v>1390</v>
      </c>
      <c r="AF269" s="5">
        <v>2900</v>
      </c>
    </row>
    <row r="270" spans="1:32">
      <c r="A270" s="7" t="s">
        <v>693</v>
      </c>
      <c r="B270" s="7" t="s">
        <v>694</v>
      </c>
      <c r="C270" s="7" t="s">
        <v>694</v>
      </c>
      <c r="D270" s="7" t="s">
        <v>709</v>
      </c>
      <c r="E270" s="7" t="str">
        <f t="shared" si="8"/>
        <v>PORSCHE Taycan Taycan Turbo Sport Turismo</v>
      </c>
      <c r="F270" s="7" t="s">
        <v>89</v>
      </c>
      <c r="G270" s="7" t="s">
        <v>710</v>
      </c>
      <c r="H270" s="7" t="s">
        <v>36</v>
      </c>
      <c r="I270" s="7">
        <v>11390000</v>
      </c>
      <c r="L270" s="7" t="s">
        <v>698</v>
      </c>
      <c r="M270" s="7" t="s">
        <v>415</v>
      </c>
      <c r="N270" s="7" t="s">
        <v>415</v>
      </c>
      <c r="Q270" s="7">
        <v>97</v>
      </c>
      <c r="R270" s="7">
        <v>613</v>
      </c>
      <c r="S270" s="7">
        <v>547</v>
      </c>
      <c r="T270" s="7" t="s">
        <v>389</v>
      </c>
      <c r="U270" s="7" t="s">
        <v>92</v>
      </c>
      <c r="V270" s="7" t="s">
        <v>92</v>
      </c>
      <c r="W270" s="7">
        <v>18.399999999999999</v>
      </c>
      <c r="X270" s="7">
        <v>128</v>
      </c>
      <c r="Y270" s="7">
        <v>650</v>
      </c>
      <c r="Z270" s="7">
        <v>940</v>
      </c>
      <c r="AA270" s="7" t="s">
        <v>40</v>
      </c>
      <c r="AB270" s="7">
        <v>2880</v>
      </c>
      <c r="AC270" s="5">
        <v>1966</v>
      </c>
      <c r="AD270" s="5">
        <v>4974</v>
      </c>
      <c r="AE270" s="5">
        <v>1409</v>
      </c>
      <c r="AF270" s="5">
        <v>2904</v>
      </c>
    </row>
    <row r="271" spans="1:32">
      <c r="A271" s="7" t="s">
        <v>693</v>
      </c>
      <c r="B271" s="7" t="s">
        <v>711</v>
      </c>
      <c r="C271" s="7" t="s">
        <v>711</v>
      </c>
      <c r="D271" s="7" t="s">
        <v>712</v>
      </c>
      <c r="E271" s="7" t="str">
        <f t="shared" si="8"/>
        <v>PORSCHE Taycan Cross Turismo Taycan 4 Cross Turismo</v>
      </c>
      <c r="F271" s="7" t="s">
        <v>89</v>
      </c>
      <c r="G271" s="7" t="s">
        <v>713</v>
      </c>
      <c r="H271" s="7" t="s">
        <v>36</v>
      </c>
      <c r="I271" s="7">
        <v>6790000</v>
      </c>
      <c r="L271" s="7" t="s">
        <v>698</v>
      </c>
      <c r="M271" s="7" t="s">
        <v>415</v>
      </c>
      <c r="N271" s="7" t="s">
        <v>415</v>
      </c>
      <c r="Q271" s="7">
        <v>97</v>
      </c>
      <c r="R271" s="7">
        <v>614</v>
      </c>
      <c r="S271" s="7">
        <v>601</v>
      </c>
      <c r="T271" s="7" t="s">
        <v>389</v>
      </c>
      <c r="U271" s="7" t="s">
        <v>92</v>
      </c>
      <c r="V271" s="7" t="s">
        <v>92</v>
      </c>
      <c r="W271" s="7">
        <v>22</v>
      </c>
      <c r="X271" s="7">
        <v>147</v>
      </c>
      <c r="Y271" s="7">
        <v>320</v>
      </c>
      <c r="Z271" s="7">
        <v>610</v>
      </c>
      <c r="AA271" s="7" t="s">
        <v>40</v>
      </c>
      <c r="AB271" s="7">
        <v>2885</v>
      </c>
      <c r="AC271" s="5">
        <v>1966</v>
      </c>
      <c r="AD271" s="5">
        <v>4974</v>
      </c>
      <c r="AE271" s="5">
        <v>1409</v>
      </c>
      <c r="AF271" s="5">
        <v>2904</v>
      </c>
    </row>
    <row r="272" spans="1:32">
      <c r="A272" s="7" t="s">
        <v>693</v>
      </c>
      <c r="B272" s="7" t="s">
        <v>711</v>
      </c>
      <c r="C272" s="7" t="s">
        <v>711</v>
      </c>
      <c r="D272" s="7" t="s">
        <v>714</v>
      </c>
      <c r="E272" s="7" t="str">
        <f t="shared" si="8"/>
        <v>PORSCHE Taycan Cross Turismo Taycan 4S Cross Turismo</v>
      </c>
      <c r="F272" s="7" t="s">
        <v>89</v>
      </c>
      <c r="G272" s="7" t="s">
        <v>713</v>
      </c>
      <c r="H272" s="7" t="s">
        <v>36</v>
      </c>
      <c r="I272" s="7">
        <v>8890000</v>
      </c>
      <c r="L272" s="7" t="s">
        <v>698</v>
      </c>
      <c r="M272" s="7" t="s">
        <v>415</v>
      </c>
      <c r="N272" s="7" t="s">
        <v>415</v>
      </c>
      <c r="Q272" s="7">
        <v>97</v>
      </c>
      <c r="R272" s="7">
        <v>612</v>
      </c>
      <c r="S272" s="7">
        <v>596</v>
      </c>
      <c r="T272" s="7" t="s">
        <v>389</v>
      </c>
      <c r="U272" s="7" t="s">
        <v>92</v>
      </c>
      <c r="V272" s="7" t="s">
        <v>92</v>
      </c>
      <c r="W272" s="7">
        <v>22</v>
      </c>
      <c r="X272" s="7">
        <v>147</v>
      </c>
      <c r="Y272" s="7">
        <v>440</v>
      </c>
      <c r="Z272" s="7">
        <v>710</v>
      </c>
      <c r="AA272" s="7" t="s">
        <v>40</v>
      </c>
      <c r="AB272" s="7">
        <v>2885</v>
      </c>
      <c r="AC272" s="5">
        <v>1966</v>
      </c>
      <c r="AD272" s="5">
        <v>4974</v>
      </c>
      <c r="AE272" s="5">
        <v>1409</v>
      </c>
      <c r="AF272" s="5">
        <v>2904</v>
      </c>
    </row>
    <row r="273" spans="1:32">
      <c r="A273" s="7" t="s">
        <v>693</v>
      </c>
      <c r="B273" s="7" t="s">
        <v>711</v>
      </c>
      <c r="C273" s="7" t="s">
        <v>711</v>
      </c>
      <c r="D273" s="7" t="s">
        <v>715</v>
      </c>
      <c r="E273" s="7" t="str">
        <f t="shared" si="8"/>
        <v>PORSCHE Taycan Cross Turismo Taycan Turbo Cross Turismo</v>
      </c>
      <c r="F273" s="7" t="s">
        <v>89</v>
      </c>
      <c r="G273" s="7" t="s">
        <v>713</v>
      </c>
      <c r="H273" s="7" t="s">
        <v>36</v>
      </c>
      <c r="I273" s="7">
        <v>11390000</v>
      </c>
      <c r="L273" s="7" t="s">
        <v>698</v>
      </c>
      <c r="M273" s="7" t="s">
        <v>415</v>
      </c>
      <c r="N273" s="7" t="s">
        <v>415</v>
      </c>
      <c r="Q273" s="7">
        <v>97</v>
      </c>
      <c r="R273" s="7">
        <v>597</v>
      </c>
      <c r="S273" s="7">
        <v>601</v>
      </c>
      <c r="T273" s="7" t="s">
        <v>389</v>
      </c>
      <c r="U273" s="7" t="s">
        <v>92</v>
      </c>
      <c r="V273" s="7" t="s">
        <v>92</v>
      </c>
      <c r="W273" s="7">
        <v>22.4</v>
      </c>
      <c r="X273" s="7">
        <v>146</v>
      </c>
      <c r="Y273" s="7">
        <v>650</v>
      </c>
      <c r="Z273" s="7">
        <v>890</v>
      </c>
      <c r="AA273" s="7" t="s">
        <v>40</v>
      </c>
      <c r="AB273" s="7">
        <v>2880</v>
      </c>
      <c r="AC273" s="5">
        <v>1966</v>
      </c>
      <c r="AD273" s="5">
        <v>4974</v>
      </c>
      <c r="AE273" s="5">
        <v>1409</v>
      </c>
      <c r="AF273" s="5">
        <v>2904</v>
      </c>
    </row>
    <row r="274" spans="1:32">
      <c r="A274" s="7" t="s">
        <v>693</v>
      </c>
      <c r="B274" s="7" t="s">
        <v>711</v>
      </c>
      <c r="C274" s="7" t="s">
        <v>711</v>
      </c>
      <c r="D274" s="7" t="s">
        <v>716</v>
      </c>
      <c r="E274" s="7" t="str">
        <f t="shared" si="8"/>
        <v>PORSCHE Taycan Cross Turismo Taycan Turbo S Cross Turismo</v>
      </c>
      <c r="F274" s="7" t="s">
        <v>89</v>
      </c>
      <c r="G274" s="7" t="s">
        <v>713</v>
      </c>
      <c r="H274" s="7" t="s">
        <v>36</v>
      </c>
      <c r="I274" s="7">
        <v>13490000</v>
      </c>
      <c r="L274" s="7" t="s">
        <v>698</v>
      </c>
      <c r="M274" s="7" t="s">
        <v>415</v>
      </c>
      <c r="N274" s="7" t="s">
        <v>415</v>
      </c>
      <c r="Q274" s="7">
        <v>97</v>
      </c>
      <c r="R274" s="7">
        <v>596</v>
      </c>
      <c r="S274" s="7">
        <v>624</v>
      </c>
      <c r="T274" s="7" t="s">
        <v>389</v>
      </c>
      <c r="U274" s="7" t="s">
        <v>92</v>
      </c>
      <c r="V274" s="7" t="s">
        <v>92</v>
      </c>
      <c r="W274" s="7">
        <v>20.5</v>
      </c>
      <c r="X274" s="7">
        <v>146</v>
      </c>
      <c r="Y274" s="7">
        <v>700</v>
      </c>
      <c r="Z274" s="7">
        <v>1110</v>
      </c>
      <c r="AA274" s="7" t="s">
        <v>40</v>
      </c>
      <c r="AB274" s="7">
        <v>2870</v>
      </c>
      <c r="AC274" s="5">
        <v>1966</v>
      </c>
      <c r="AD274" s="5">
        <v>4974</v>
      </c>
      <c r="AE274" s="5">
        <v>1409</v>
      </c>
      <c r="AF274" s="5">
        <v>2904</v>
      </c>
    </row>
    <row r="275" spans="1:32">
      <c r="A275" s="7" t="s">
        <v>693</v>
      </c>
      <c r="B275" s="7" t="s">
        <v>717</v>
      </c>
      <c r="C275" s="7" t="s">
        <v>717</v>
      </c>
      <c r="D275" s="7" t="s">
        <v>718</v>
      </c>
      <c r="E275" s="7" t="str">
        <f t="shared" si="8"/>
        <v>PORSCHE Cayenne Cayenne Coupé Electric</v>
      </c>
      <c r="F275" s="10" t="s">
        <v>35</v>
      </c>
      <c r="G275" s="7" t="s">
        <v>719</v>
      </c>
      <c r="H275" s="7" t="s">
        <v>36</v>
      </c>
      <c r="I275" s="7">
        <v>6690000</v>
      </c>
      <c r="L275" s="7" t="s">
        <v>720</v>
      </c>
      <c r="M275" s="7" t="s">
        <v>415</v>
      </c>
      <c r="N275" s="7" t="s">
        <v>415</v>
      </c>
      <c r="Q275" s="7">
        <v>113</v>
      </c>
      <c r="R275" s="7">
        <v>660</v>
      </c>
      <c r="S275" s="7">
        <v>703</v>
      </c>
      <c r="T275" s="7" t="s">
        <v>389</v>
      </c>
      <c r="U275" s="7" t="s">
        <v>721</v>
      </c>
      <c r="V275" s="7" t="s">
        <v>721</v>
      </c>
      <c r="W275" s="7">
        <v>22</v>
      </c>
      <c r="X275" s="7">
        <v>190</v>
      </c>
      <c r="Y275" s="7">
        <v>325</v>
      </c>
      <c r="Z275" s="7">
        <v>835</v>
      </c>
      <c r="AA275" s="7" t="s">
        <v>40</v>
      </c>
      <c r="AB275" s="7">
        <v>3150</v>
      </c>
      <c r="AC275" s="5">
        <v>1983</v>
      </c>
      <c r="AD275" s="5">
        <v>4930</v>
      </c>
      <c r="AE275" s="5">
        <v>1656</v>
      </c>
      <c r="AF275" s="5">
        <v>2895</v>
      </c>
    </row>
    <row r="276" spans="1:32">
      <c r="A276" s="7" t="s">
        <v>693</v>
      </c>
      <c r="B276" s="7" t="s">
        <v>717</v>
      </c>
      <c r="C276" s="7" t="s">
        <v>717</v>
      </c>
      <c r="D276" s="7" t="s">
        <v>722</v>
      </c>
      <c r="E276" s="7" t="str">
        <f t="shared" si="8"/>
        <v>PORSCHE Cayenne Cayenne S Coupé Electric</v>
      </c>
      <c r="F276" s="10" t="s">
        <v>35</v>
      </c>
      <c r="G276" s="7" t="s">
        <v>719</v>
      </c>
      <c r="H276" s="7" t="s">
        <v>36</v>
      </c>
      <c r="I276" s="7">
        <v>7550000</v>
      </c>
      <c r="L276" s="7" t="s">
        <v>720</v>
      </c>
      <c r="M276" s="7" t="s">
        <v>415</v>
      </c>
      <c r="N276" s="7" t="s">
        <v>415</v>
      </c>
      <c r="Q276" s="7" t="s">
        <v>723</v>
      </c>
      <c r="R276" s="7">
        <v>717</v>
      </c>
      <c r="S276" s="7">
        <v>691</v>
      </c>
      <c r="T276" s="7" t="s">
        <v>389</v>
      </c>
      <c r="U276" s="7" t="s">
        <v>721</v>
      </c>
      <c r="V276" s="7" t="s">
        <v>721</v>
      </c>
      <c r="W276" s="7">
        <v>22.2</v>
      </c>
      <c r="X276" s="7">
        <v>190</v>
      </c>
      <c r="Y276" s="7">
        <v>490</v>
      </c>
      <c r="Z276" s="7">
        <v>1080</v>
      </c>
      <c r="AA276" s="7" t="s">
        <v>40</v>
      </c>
      <c r="AB276" s="7">
        <v>3195</v>
      </c>
      <c r="AC276" s="5">
        <v>1983</v>
      </c>
      <c r="AD276" s="5">
        <v>4930</v>
      </c>
      <c r="AE276" s="5">
        <v>1656</v>
      </c>
      <c r="AF276" s="5">
        <v>2895</v>
      </c>
    </row>
    <row r="277" spans="1:32">
      <c r="A277" s="7" t="s">
        <v>693</v>
      </c>
      <c r="B277" s="7" t="s">
        <v>717</v>
      </c>
      <c r="C277" s="7" t="s">
        <v>717</v>
      </c>
      <c r="D277" s="7" t="s">
        <v>724</v>
      </c>
      <c r="E277" s="7" t="str">
        <f t="shared" si="8"/>
        <v>PORSCHE Cayenne Cayenne Turbo Coupé Electric</v>
      </c>
      <c r="F277" s="10" t="s">
        <v>35</v>
      </c>
      <c r="G277" s="7" t="s">
        <v>719</v>
      </c>
      <c r="H277" s="7" t="s">
        <v>36</v>
      </c>
      <c r="I277" s="7">
        <v>9950000</v>
      </c>
      <c r="L277" s="7" t="s">
        <v>725</v>
      </c>
      <c r="M277" s="7" t="s">
        <v>415</v>
      </c>
      <c r="N277" s="7" t="s">
        <v>415</v>
      </c>
      <c r="Q277" s="7">
        <v>113</v>
      </c>
      <c r="R277" s="7">
        <v>682</v>
      </c>
      <c r="S277" s="7">
        <v>624</v>
      </c>
      <c r="T277" s="7" t="s">
        <v>389</v>
      </c>
      <c r="U277" s="7" t="s">
        <v>721</v>
      </c>
      <c r="V277" s="7" t="s">
        <v>721</v>
      </c>
      <c r="W277" s="7">
        <v>24.2</v>
      </c>
      <c r="X277" s="7">
        <v>190</v>
      </c>
      <c r="Y277" s="7">
        <v>850</v>
      </c>
      <c r="Z277" s="7">
        <v>1500</v>
      </c>
      <c r="AA277" s="7" t="s">
        <v>40</v>
      </c>
      <c r="AB277" s="7">
        <v>3250</v>
      </c>
      <c r="AC277" s="5">
        <v>1983</v>
      </c>
      <c r="AD277" s="5">
        <v>4930</v>
      </c>
      <c r="AE277" s="5">
        <v>1656</v>
      </c>
      <c r="AF277" s="5">
        <v>2895</v>
      </c>
    </row>
    <row r="278" spans="1:32">
      <c r="A278" s="7" t="s">
        <v>693</v>
      </c>
      <c r="B278" s="7" t="s">
        <v>717</v>
      </c>
      <c r="C278" s="7" t="s">
        <v>717</v>
      </c>
      <c r="D278" s="7" t="s">
        <v>726</v>
      </c>
      <c r="E278" s="7" t="str">
        <f t="shared" si="8"/>
        <v>PORSCHE Cayenne Cayenne Turbo Electric</v>
      </c>
      <c r="F278" s="10" t="s">
        <v>35</v>
      </c>
      <c r="G278" s="7" t="s">
        <v>35</v>
      </c>
      <c r="H278" s="7" t="s">
        <v>36</v>
      </c>
      <c r="I278" s="7">
        <v>9750000</v>
      </c>
      <c r="L278" s="7" t="s">
        <v>725</v>
      </c>
      <c r="M278" s="7" t="s">
        <v>415</v>
      </c>
      <c r="N278" s="7" t="s">
        <v>415</v>
      </c>
      <c r="Q278" s="7">
        <v>113</v>
      </c>
      <c r="R278" s="7">
        <v>669</v>
      </c>
      <c r="S278" s="7">
        <v>618</v>
      </c>
      <c r="T278" s="7" t="s">
        <v>389</v>
      </c>
      <c r="U278" s="7" t="s">
        <v>721</v>
      </c>
      <c r="V278" s="7" t="s">
        <v>721</v>
      </c>
      <c r="W278" s="7">
        <v>22.4</v>
      </c>
      <c r="X278" s="7">
        <v>190</v>
      </c>
      <c r="Y278" s="7">
        <v>850</v>
      </c>
      <c r="Z278" s="7">
        <v>1500</v>
      </c>
      <c r="AA278" s="7" t="s">
        <v>40</v>
      </c>
      <c r="AB278" s="7">
        <v>3225</v>
      </c>
      <c r="AC278" s="5">
        <v>1983</v>
      </c>
      <c r="AD278" s="5">
        <v>4930</v>
      </c>
      <c r="AE278" s="5">
        <v>1674</v>
      </c>
      <c r="AF278" s="5">
        <v>2895</v>
      </c>
    </row>
    <row r="279" spans="1:32">
      <c r="A279" s="7" t="s">
        <v>693</v>
      </c>
      <c r="B279" s="7" t="s">
        <v>717</v>
      </c>
      <c r="C279" s="7" t="s">
        <v>717</v>
      </c>
      <c r="D279" s="7" t="s">
        <v>727</v>
      </c>
      <c r="E279" s="7" t="str">
        <f t="shared" si="8"/>
        <v>PORSCHE Cayenne Cayenne S Electric</v>
      </c>
      <c r="F279" s="10" t="s">
        <v>35</v>
      </c>
      <c r="G279" s="7" t="s">
        <v>35</v>
      </c>
      <c r="H279" s="7" t="s">
        <v>36</v>
      </c>
      <c r="I279" s="7">
        <v>7350000</v>
      </c>
      <c r="L279" s="7" t="s">
        <v>725</v>
      </c>
      <c r="M279" s="7" t="s">
        <v>415</v>
      </c>
      <c r="N279" s="7" t="s">
        <v>415</v>
      </c>
      <c r="Q279" s="7">
        <v>113</v>
      </c>
      <c r="R279" s="7">
        <v>624</v>
      </c>
      <c r="S279" s="7" t="s">
        <v>728</v>
      </c>
      <c r="T279" s="7" t="s">
        <v>389</v>
      </c>
      <c r="U279" s="7" t="s">
        <v>721</v>
      </c>
      <c r="V279" s="7" t="s">
        <v>721</v>
      </c>
      <c r="W279" s="7">
        <v>22.2</v>
      </c>
      <c r="X279" s="7">
        <v>190</v>
      </c>
      <c r="Y279" s="7">
        <v>490</v>
      </c>
      <c r="Z279" s="7">
        <v>1080</v>
      </c>
      <c r="AA279" s="7" t="s">
        <v>40</v>
      </c>
      <c r="AB279" s="7">
        <v>3210</v>
      </c>
      <c r="AC279" s="5">
        <v>1983</v>
      </c>
      <c r="AD279" s="5">
        <v>4930</v>
      </c>
      <c r="AE279" s="5">
        <v>1674</v>
      </c>
      <c r="AF279" s="5">
        <v>2895</v>
      </c>
    </row>
    <row r="280" spans="1:32">
      <c r="A280" s="7" t="s">
        <v>693</v>
      </c>
      <c r="B280" s="7" t="s">
        <v>729</v>
      </c>
      <c r="C280" s="7" t="s">
        <v>730</v>
      </c>
      <c r="D280" s="7" t="s">
        <v>731</v>
      </c>
      <c r="E280" s="7" t="str">
        <f t="shared" si="8"/>
        <v>PORSCHE MACAN Electric Macan Electric (RWD)</v>
      </c>
      <c r="F280" s="10" t="s">
        <v>35</v>
      </c>
      <c r="G280" s="7" t="s">
        <v>732</v>
      </c>
      <c r="H280" s="7" t="s">
        <v>36</v>
      </c>
      <c r="I280" s="7">
        <v>7890000</v>
      </c>
      <c r="L280" s="7" t="s">
        <v>686</v>
      </c>
      <c r="M280" s="7" t="s">
        <v>91</v>
      </c>
      <c r="N280" s="7" t="s">
        <v>733</v>
      </c>
      <c r="Q280" s="7">
        <v>100</v>
      </c>
      <c r="R280" s="7">
        <v>641</v>
      </c>
      <c r="S280" s="7">
        <v>643</v>
      </c>
      <c r="T280" s="7" t="s">
        <v>389</v>
      </c>
      <c r="U280" s="7" t="s">
        <v>92</v>
      </c>
      <c r="V280" s="7" t="s">
        <v>92</v>
      </c>
      <c r="W280" s="7">
        <v>19.3</v>
      </c>
      <c r="X280" s="7">
        <v>185</v>
      </c>
      <c r="Y280" s="7">
        <v>265</v>
      </c>
      <c r="Z280" s="7">
        <v>563</v>
      </c>
      <c r="AA280" s="7" t="s">
        <v>40</v>
      </c>
      <c r="AB280" s="7">
        <v>2810</v>
      </c>
      <c r="AC280" s="5">
        <v>1938</v>
      </c>
      <c r="AD280" s="5">
        <v>4784</v>
      </c>
      <c r="AE280" s="5">
        <v>1621</v>
      </c>
      <c r="AF280" s="5">
        <v>2893</v>
      </c>
    </row>
    <row r="281" spans="1:32">
      <c r="A281" s="7" t="s">
        <v>693</v>
      </c>
      <c r="B281" s="7" t="s">
        <v>729</v>
      </c>
      <c r="C281" s="7" t="s">
        <v>729</v>
      </c>
      <c r="D281" s="7" t="s">
        <v>734</v>
      </c>
      <c r="E281" s="7" t="str">
        <f t="shared" si="8"/>
        <v>PORSCHE MACAN  Macan 4 Electric</v>
      </c>
      <c r="F281" s="10" t="s">
        <v>35</v>
      </c>
      <c r="G281" s="7" t="s">
        <v>732</v>
      </c>
      <c r="H281" s="7" t="s">
        <v>36</v>
      </c>
      <c r="I281" s="7">
        <v>5490000</v>
      </c>
      <c r="L281" s="7" t="s">
        <v>686</v>
      </c>
      <c r="M281" s="7" t="s">
        <v>91</v>
      </c>
      <c r="N281" s="7" t="s">
        <v>733</v>
      </c>
      <c r="Q281" s="7">
        <v>100</v>
      </c>
      <c r="R281" s="7" t="s">
        <v>735</v>
      </c>
      <c r="S281" s="7">
        <v>619</v>
      </c>
      <c r="T281" s="7" t="s">
        <v>389</v>
      </c>
      <c r="U281" s="7" t="s">
        <v>92</v>
      </c>
      <c r="V281" s="7" t="s">
        <v>92</v>
      </c>
      <c r="W281" s="7">
        <v>21.1</v>
      </c>
      <c r="X281" s="7">
        <v>158</v>
      </c>
      <c r="Y281" s="7">
        <v>300</v>
      </c>
      <c r="Z281" s="7">
        <v>650</v>
      </c>
      <c r="AA281" s="7" t="s">
        <v>40</v>
      </c>
      <c r="AB281" s="7">
        <v>2920</v>
      </c>
      <c r="AC281" s="5">
        <v>1938</v>
      </c>
      <c r="AD281" s="5">
        <v>4784</v>
      </c>
      <c r="AE281" s="5">
        <v>1621</v>
      </c>
      <c r="AF281" s="5">
        <v>2893</v>
      </c>
    </row>
    <row r="282" spans="1:32">
      <c r="A282" s="7" t="s">
        <v>693</v>
      </c>
      <c r="B282" s="7" t="s">
        <v>729</v>
      </c>
      <c r="C282" s="7" t="s">
        <v>729</v>
      </c>
      <c r="D282" s="7" t="s">
        <v>736</v>
      </c>
      <c r="E282" s="7" t="str">
        <f t="shared" si="8"/>
        <v>PORSCHE MACAN  Macan 4S Electric</v>
      </c>
      <c r="F282" s="10" t="s">
        <v>35</v>
      </c>
      <c r="G282" s="7" t="s">
        <v>732</v>
      </c>
      <c r="H282" s="7" t="s">
        <v>36</v>
      </c>
      <c r="I282" s="7" t="s">
        <v>737</v>
      </c>
      <c r="L282" s="7" t="s">
        <v>686</v>
      </c>
      <c r="M282" s="7" t="s">
        <v>91</v>
      </c>
      <c r="N282" s="7" t="s">
        <v>733</v>
      </c>
      <c r="Q282" s="7">
        <v>100</v>
      </c>
      <c r="R282" s="7">
        <v>606</v>
      </c>
      <c r="S282" s="7">
        <v>611</v>
      </c>
      <c r="T282" s="7" t="s">
        <v>389</v>
      </c>
      <c r="U282" s="7" t="s">
        <v>92</v>
      </c>
      <c r="V282" s="7" t="s">
        <v>92</v>
      </c>
      <c r="W282" s="7">
        <v>20.5</v>
      </c>
      <c r="X282" s="7">
        <v>158</v>
      </c>
      <c r="Y282" s="7">
        <v>380</v>
      </c>
      <c r="Z282" s="7" t="s">
        <v>738</v>
      </c>
      <c r="AA282" s="7" t="s">
        <v>40</v>
      </c>
      <c r="AB282" s="7">
        <v>2935</v>
      </c>
      <c r="AC282" s="5">
        <v>1938</v>
      </c>
      <c r="AD282" s="5">
        <v>4784</v>
      </c>
      <c r="AE282" s="5">
        <v>1621</v>
      </c>
      <c r="AF282" s="5">
        <v>2893</v>
      </c>
    </row>
    <row r="283" spans="1:32">
      <c r="A283" s="7" t="s">
        <v>693</v>
      </c>
      <c r="B283" s="7" t="s">
        <v>729</v>
      </c>
      <c r="C283" s="7" t="s">
        <v>729</v>
      </c>
      <c r="D283" s="7" t="s">
        <v>739</v>
      </c>
      <c r="E283" s="7" t="str">
        <f t="shared" si="8"/>
        <v>PORSCHE MACAN  MACAN GTS</v>
      </c>
      <c r="F283" s="10" t="s">
        <v>35</v>
      </c>
      <c r="G283" s="7" t="s">
        <v>732</v>
      </c>
      <c r="H283" s="7" t="s">
        <v>36</v>
      </c>
      <c r="I283" s="7" t="s">
        <v>740</v>
      </c>
      <c r="L283" s="7" t="s">
        <v>686</v>
      </c>
      <c r="M283" s="7" t="s">
        <v>91</v>
      </c>
      <c r="N283" s="7" t="s">
        <v>733</v>
      </c>
      <c r="Q283" s="7">
        <v>100</v>
      </c>
      <c r="R283" s="7">
        <v>586</v>
      </c>
      <c r="S283" s="7">
        <v>605</v>
      </c>
      <c r="T283" s="7" t="s">
        <v>389</v>
      </c>
      <c r="U283" s="7" t="s">
        <v>92</v>
      </c>
      <c r="V283" s="7" t="s">
        <v>92</v>
      </c>
      <c r="W283" s="7">
        <v>20.6</v>
      </c>
      <c r="X283" s="7">
        <v>148</v>
      </c>
      <c r="Y283" s="7">
        <v>420</v>
      </c>
      <c r="Z283" s="7">
        <v>955</v>
      </c>
      <c r="AA283" s="7" t="s">
        <v>40</v>
      </c>
      <c r="AB283" s="7">
        <v>2935</v>
      </c>
      <c r="AC283" s="5">
        <v>1938</v>
      </c>
      <c r="AD283" s="5">
        <v>4784</v>
      </c>
      <c r="AE283" s="5">
        <v>1621</v>
      </c>
      <c r="AF283" s="5">
        <v>2893</v>
      </c>
    </row>
    <row r="284" spans="1:32">
      <c r="A284" s="7" t="s">
        <v>693</v>
      </c>
      <c r="B284" s="7" t="s">
        <v>729</v>
      </c>
      <c r="C284" s="7" t="s">
        <v>729</v>
      </c>
      <c r="D284" s="7" t="s">
        <v>741</v>
      </c>
      <c r="E284" s="7" t="str">
        <f t="shared" si="8"/>
        <v>PORSCHE MACAN  Macan Turbo Electric</v>
      </c>
      <c r="F284" s="10" t="s">
        <v>35</v>
      </c>
      <c r="G284" s="7" t="s">
        <v>732</v>
      </c>
      <c r="H284" s="7" t="s">
        <v>36</v>
      </c>
      <c r="I284" s="7">
        <v>7890000</v>
      </c>
      <c r="L284" s="7" t="s">
        <v>686</v>
      </c>
      <c r="M284" s="7" t="s">
        <v>91</v>
      </c>
      <c r="N284" s="7" t="s">
        <v>733</v>
      </c>
      <c r="Q284" s="7">
        <v>100</v>
      </c>
      <c r="R284" s="7">
        <v>590</v>
      </c>
      <c r="S284" s="7">
        <v>611</v>
      </c>
      <c r="T284" s="7" t="s">
        <v>389</v>
      </c>
      <c r="U284" s="7" t="s">
        <v>92</v>
      </c>
      <c r="V284" s="7" t="s">
        <v>92</v>
      </c>
      <c r="W284" s="7">
        <v>20.7</v>
      </c>
      <c r="X284" s="7">
        <v>158</v>
      </c>
      <c r="Y284" s="7">
        <v>470</v>
      </c>
      <c r="Z284" s="7">
        <v>1130</v>
      </c>
      <c r="AA284" s="7" t="s">
        <v>40</v>
      </c>
      <c r="AB284" s="7">
        <v>2950</v>
      </c>
      <c r="AC284" s="5">
        <v>1938</v>
      </c>
      <c r="AD284" s="5">
        <v>4784</v>
      </c>
      <c r="AE284" s="5">
        <v>1621</v>
      </c>
      <c r="AF284" s="5">
        <v>2893</v>
      </c>
    </row>
    <row r="285" spans="1:32">
      <c r="A285" s="7" t="s">
        <v>742</v>
      </c>
      <c r="B285" s="7" t="s">
        <v>743</v>
      </c>
      <c r="C285" s="7" t="s">
        <v>743</v>
      </c>
      <c r="D285" s="7" t="s">
        <v>181</v>
      </c>
      <c r="E285" s="7" t="str">
        <f t="shared" si="8"/>
        <v>VOLKSWAGEN ID.3 Pro</v>
      </c>
      <c r="F285" s="10" t="s">
        <v>47</v>
      </c>
      <c r="G285" s="7" t="s">
        <v>47</v>
      </c>
      <c r="H285" s="7" t="s">
        <v>36</v>
      </c>
      <c r="I285" s="7">
        <v>1550000</v>
      </c>
      <c r="L285" s="7" t="s">
        <v>744</v>
      </c>
      <c r="M285" s="7" t="s">
        <v>745</v>
      </c>
      <c r="N285" s="7" t="s">
        <v>745</v>
      </c>
      <c r="Q285" s="7">
        <v>58</v>
      </c>
      <c r="R285" s="7">
        <v>420</v>
      </c>
      <c r="S285" s="7">
        <v>430</v>
      </c>
      <c r="T285" s="7" t="s">
        <v>389</v>
      </c>
      <c r="U285" s="7" t="s">
        <v>92</v>
      </c>
      <c r="V285" s="7" t="s">
        <v>92</v>
      </c>
      <c r="W285" s="7">
        <v>15.4</v>
      </c>
      <c r="X285" s="7">
        <v>150</v>
      </c>
      <c r="Y285" s="7">
        <v>150</v>
      </c>
      <c r="Z285" s="7">
        <v>310</v>
      </c>
      <c r="AA285" s="7" t="s">
        <v>40</v>
      </c>
      <c r="AB285" s="7">
        <v>2270</v>
      </c>
      <c r="AC285" s="5">
        <v>1809</v>
      </c>
      <c r="AD285" s="5">
        <v>4264</v>
      </c>
      <c r="AE285" s="5">
        <v>1564</v>
      </c>
      <c r="AF285" s="5">
        <v>2770</v>
      </c>
    </row>
    <row r="286" spans="1:32">
      <c r="A286" s="7" t="s">
        <v>742</v>
      </c>
      <c r="B286" s="7" t="s">
        <v>743</v>
      </c>
      <c r="C286" s="7" t="s">
        <v>743</v>
      </c>
      <c r="D286" s="7" t="s">
        <v>746</v>
      </c>
      <c r="E286" s="7" t="str">
        <f t="shared" si="8"/>
        <v xml:space="preserve">VOLKSWAGEN ID.3 Pro </v>
      </c>
      <c r="F286" s="10" t="s">
        <v>47</v>
      </c>
      <c r="G286" s="7" t="s">
        <v>47</v>
      </c>
      <c r="H286" s="7" t="s">
        <v>36</v>
      </c>
      <c r="I286" s="7">
        <v>1400000</v>
      </c>
      <c r="L286" s="7" t="s">
        <v>747</v>
      </c>
      <c r="M286" s="7" t="s">
        <v>748</v>
      </c>
      <c r="N286" s="7" t="s">
        <v>748</v>
      </c>
      <c r="Q286" s="7">
        <v>59</v>
      </c>
      <c r="R286" s="7">
        <v>434</v>
      </c>
      <c r="S286" s="7">
        <v>445</v>
      </c>
      <c r="T286" s="7" t="s">
        <v>389</v>
      </c>
      <c r="U286" s="7" t="s">
        <v>92</v>
      </c>
      <c r="V286" s="7" t="s">
        <v>92</v>
      </c>
      <c r="W286" s="7">
        <v>15.4</v>
      </c>
      <c r="X286" s="7">
        <v>150</v>
      </c>
      <c r="Y286" s="7">
        <v>150</v>
      </c>
      <c r="Z286" s="7">
        <v>310</v>
      </c>
      <c r="AA286" s="7" t="s">
        <v>40</v>
      </c>
      <c r="AB286" s="7">
        <v>2280</v>
      </c>
      <c r="AC286" s="5">
        <v>1809</v>
      </c>
      <c r="AD286" s="5">
        <v>4264</v>
      </c>
      <c r="AE286" s="5">
        <v>1564</v>
      </c>
      <c r="AF286" s="5">
        <v>2770</v>
      </c>
    </row>
    <row r="287" spans="1:32">
      <c r="A287" s="7" t="s">
        <v>742</v>
      </c>
      <c r="B287" s="7" t="s">
        <v>743</v>
      </c>
      <c r="C287" s="7" t="s">
        <v>743</v>
      </c>
      <c r="D287" s="7" t="s">
        <v>749</v>
      </c>
      <c r="E287" s="7" t="str">
        <f t="shared" si="8"/>
        <v>VOLKSWAGEN ID.3 Pro S)</v>
      </c>
      <c r="F287" s="10" t="s">
        <v>47</v>
      </c>
      <c r="G287" s="7" t="s">
        <v>47</v>
      </c>
      <c r="H287" s="7" t="s">
        <v>36</v>
      </c>
      <c r="I287" s="7">
        <v>2060000</v>
      </c>
      <c r="L287" s="7" t="s">
        <v>750</v>
      </c>
      <c r="M287" s="7" t="s">
        <v>745</v>
      </c>
      <c r="N287" s="7" t="s">
        <v>745</v>
      </c>
      <c r="Q287" s="7">
        <v>82</v>
      </c>
      <c r="R287" s="7">
        <v>546</v>
      </c>
      <c r="S287" s="7">
        <v>553</v>
      </c>
      <c r="T287" s="7" t="s">
        <v>751</v>
      </c>
      <c r="U287" s="7" t="s">
        <v>92</v>
      </c>
      <c r="V287" s="7" t="s">
        <v>92</v>
      </c>
      <c r="W287" s="7">
        <v>15.7</v>
      </c>
      <c r="X287" s="7">
        <v>150</v>
      </c>
      <c r="Y287" s="7">
        <v>150</v>
      </c>
      <c r="Z287" s="7">
        <v>310</v>
      </c>
      <c r="AA287" s="7" t="s">
        <v>40</v>
      </c>
      <c r="AB287" s="7">
        <v>2300</v>
      </c>
      <c r="AC287" s="5">
        <v>1809</v>
      </c>
      <c r="AD287" s="5">
        <v>4264</v>
      </c>
      <c r="AE287" s="5">
        <v>1564</v>
      </c>
      <c r="AF287" s="5">
        <v>2770</v>
      </c>
    </row>
    <row r="288" spans="1:32">
      <c r="A288" s="7" t="s">
        <v>742</v>
      </c>
      <c r="B288" s="7" t="s">
        <v>743</v>
      </c>
      <c r="C288" s="7" t="s">
        <v>743</v>
      </c>
      <c r="D288" s="7" t="s">
        <v>752</v>
      </c>
      <c r="E288" s="7" t="str">
        <f t="shared" si="8"/>
        <v xml:space="preserve">VOLKSWAGEN ID.3 Pro S </v>
      </c>
      <c r="F288" s="10" t="s">
        <v>47</v>
      </c>
      <c r="G288" s="7" t="s">
        <v>47</v>
      </c>
      <c r="H288" s="7" t="s">
        <v>36</v>
      </c>
      <c r="I288" s="7">
        <v>1700000</v>
      </c>
      <c r="L288" s="7" t="s">
        <v>753</v>
      </c>
      <c r="M288" s="7" t="s">
        <v>748</v>
      </c>
      <c r="N288" s="7" t="s">
        <v>748</v>
      </c>
      <c r="Q288" s="7">
        <v>84</v>
      </c>
      <c r="R288" s="7">
        <v>557</v>
      </c>
      <c r="S288" s="7">
        <v>565</v>
      </c>
      <c r="T288" s="7" t="s">
        <v>754</v>
      </c>
      <c r="U288" s="7" t="s">
        <v>92</v>
      </c>
      <c r="V288" s="7" t="s">
        <v>92</v>
      </c>
      <c r="W288" s="7">
        <v>15.6</v>
      </c>
      <c r="X288" s="7">
        <v>150</v>
      </c>
      <c r="Y288" s="7">
        <v>170</v>
      </c>
      <c r="Z288" s="7">
        <v>310</v>
      </c>
      <c r="AA288" s="7" t="s">
        <v>40</v>
      </c>
      <c r="AB288" s="7">
        <v>2300</v>
      </c>
      <c r="AC288" s="5">
        <v>1809</v>
      </c>
      <c r="AD288" s="5">
        <v>4264</v>
      </c>
      <c r="AE288" s="5">
        <v>1564</v>
      </c>
      <c r="AF288" s="5">
        <v>2770</v>
      </c>
    </row>
    <row r="289" spans="1:32">
      <c r="A289" s="7" t="s">
        <v>742</v>
      </c>
      <c r="B289" s="7" t="s">
        <v>755</v>
      </c>
      <c r="C289" s="7" t="s">
        <v>755</v>
      </c>
      <c r="D289" s="7" t="s">
        <v>746</v>
      </c>
      <c r="E289" s="7" t="str">
        <f t="shared" si="8"/>
        <v xml:space="preserve">VOLKSWAGEN ID.4 Pro </v>
      </c>
      <c r="F289" s="10" t="s">
        <v>35</v>
      </c>
      <c r="G289" s="7" t="s">
        <v>193</v>
      </c>
      <c r="H289" s="7" t="s">
        <v>36</v>
      </c>
      <c r="I289" s="7">
        <v>1850000</v>
      </c>
      <c r="L289" s="7" t="s">
        <v>756</v>
      </c>
      <c r="M289" s="7" t="s">
        <v>745</v>
      </c>
      <c r="N289" s="7" t="s">
        <v>745</v>
      </c>
      <c r="Q289" s="7">
        <v>77</v>
      </c>
      <c r="R289" s="7">
        <v>537</v>
      </c>
      <c r="S289" s="7">
        <v>550</v>
      </c>
      <c r="T289" s="7" t="s">
        <v>754</v>
      </c>
      <c r="U289" s="7" t="s">
        <v>92</v>
      </c>
      <c r="V289" s="7" t="s">
        <v>92</v>
      </c>
      <c r="W289" s="7">
        <v>17.2</v>
      </c>
      <c r="X289" s="7">
        <v>160</v>
      </c>
      <c r="Y289" s="7">
        <v>150</v>
      </c>
      <c r="Z289" s="7">
        <v>310</v>
      </c>
      <c r="AA289" s="7" t="s">
        <v>40</v>
      </c>
      <c r="AB289" s="7">
        <v>2540</v>
      </c>
      <c r="AC289" s="5">
        <v>1852</v>
      </c>
      <c r="AD289" s="5">
        <v>4584</v>
      </c>
      <c r="AE289" s="5">
        <v>1634</v>
      </c>
      <c r="AF289" s="5">
        <v>2766</v>
      </c>
    </row>
    <row r="290" spans="1:32">
      <c r="A290" s="7" t="s">
        <v>742</v>
      </c>
      <c r="B290" s="7" t="s">
        <v>755</v>
      </c>
      <c r="C290" s="7" t="s">
        <v>755</v>
      </c>
      <c r="D290" s="7" t="s">
        <v>746</v>
      </c>
      <c r="E290" s="7" t="str">
        <f t="shared" si="8"/>
        <v xml:space="preserve">VOLKSWAGEN ID.4 Pro </v>
      </c>
      <c r="F290" s="10" t="s">
        <v>35</v>
      </c>
      <c r="G290" s="7" t="s">
        <v>193</v>
      </c>
      <c r="H290" s="7" t="s">
        <v>36</v>
      </c>
      <c r="I290" s="7">
        <v>1750000</v>
      </c>
      <c r="L290" s="7" t="s">
        <v>747</v>
      </c>
      <c r="M290" s="7" t="s">
        <v>748</v>
      </c>
      <c r="N290" s="7" t="s">
        <v>748</v>
      </c>
      <c r="Q290" s="7">
        <v>79</v>
      </c>
      <c r="R290" s="7">
        <v>570</v>
      </c>
      <c r="S290" s="7">
        <v>600</v>
      </c>
      <c r="T290" s="7" t="s">
        <v>754</v>
      </c>
      <c r="U290" s="7" t="s">
        <v>92</v>
      </c>
      <c r="V290" s="7" t="s">
        <v>92</v>
      </c>
      <c r="W290" s="7">
        <v>15.9</v>
      </c>
      <c r="X290" s="7">
        <v>160</v>
      </c>
      <c r="Y290" s="7">
        <v>210</v>
      </c>
      <c r="Z290" s="7">
        <v>545</v>
      </c>
      <c r="AA290" s="7" t="s">
        <v>40</v>
      </c>
      <c r="AB290" s="7">
        <v>2690</v>
      </c>
      <c r="AC290" s="5">
        <v>1852</v>
      </c>
      <c r="AD290" s="5">
        <v>4584</v>
      </c>
      <c r="AE290" s="5">
        <v>1634</v>
      </c>
      <c r="AF290" s="5">
        <v>2766</v>
      </c>
    </row>
    <row r="291" spans="1:32">
      <c r="A291" s="7" t="s">
        <v>742</v>
      </c>
      <c r="B291" s="7" t="s">
        <v>755</v>
      </c>
      <c r="C291" s="7" t="s">
        <v>755</v>
      </c>
      <c r="D291" s="7" t="s">
        <v>757</v>
      </c>
      <c r="E291" s="7" t="str">
        <f t="shared" si="8"/>
        <v xml:space="preserve">VOLKSWAGEN ID.4 GTX </v>
      </c>
      <c r="F291" s="10" t="s">
        <v>35</v>
      </c>
      <c r="G291" s="7" t="s">
        <v>193</v>
      </c>
      <c r="H291" s="7" t="s">
        <v>36</v>
      </c>
      <c r="I291" s="7">
        <v>2000000</v>
      </c>
      <c r="L291" s="7" t="s">
        <v>753</v>
      </c>
      <c r="M291" s="7" t="s">
        <v>745</v>
      </c>
      <c r="N291" s="7" t="s">
        <v>745</v>
      </c>
      <c r="Q291" s="7">
        <v>77</v>
      </c>
      <c r="R291" s="7">
        <v>509</v>
      </c>
      <c r="S291" s="7">
        <v>580</v>
      </c>
      <c r="T291" s="7" t="s">
        <v>754</v>
      </c>
      <c r="U291" s="7" t="s">
        <v>92</v>
      </c>
      <c r="V291" s="7" t="s">
        <v>92</v>
      </c>
      <c r="W291" s="7">
        <v>17.2</v>
      </c>
      <c r="X291" s="7">
        <v>170</v>
      </c>
      <c r="Y291" s="7">
        <v>220</v>
      </c>
      <c r="Z291" s="7">
        <v>460</v>
      </c>
      <c r="AA291" s="7" t="s">
        <v>40</v>
      </c>
      <c r="AB291" s="7" t="s">
        <v>758</v>
      </c>
      <c r="AC291" s="5">
        <v>1852</v>
      </c>
      <c r="AD291" s="5">
        <v>4584</v>
      </c>
      <c r="AE291" s="5">
        <v>1634</v>
      </c>
      <c r="AF291" s="5">
        <v>2766</v>
      </c>
    </row>
    <row r="292" spans="1:32">
      <c r="A292" s="7" t="s">
        <v>742</v>
      </c>
      <c r="B292" s="7" t="s">
        <v>755</v>
      </c>
      <c r="C292" s="7" t="s">
        <v>755</v>
      </c>
      <c r="D292" s="7" t="s">
        <v>757</v>
      </c>
      <c r="E292" s="7" t="str">
        <f t="shared" si="8"/>
        <v xml:space="preserve">VOLKSWAGEN ID.4 GTX </v>
      </c>
      <c r="F292" s="10" t="s">
        <v>35</v>
      </c>
      <c r="G292" s="7" t="s">
        <v>193</v>
      </c>
      <c r="H292" s="7" t="s">
        <v>36</v>
      </c>
      <c r="I292" s="7">
        <v>2050000</v>
      </c>
      <c r="L292" s="7" t="s">
        <v>753</v>
      </c>
      <c r="M292" s="7" t="s">
        <v>748</v>
      </c>
      <c r="N292" s="7" t="s">
        <v>748</v>
      </c>
      <c r="Q292" s="7">
        <v>77</v>
      </c>
      <c r="R292" s="7">
        <v>518</v>
      </c>
      <c r="S292" s="7">
        <v>595</v>
      </c>
      <c r="T292" s="7" t="s">
        <v>754</v>
      </c>
      <c r="U292" s="7" t="s">
        <v>92</v>
      </c>
      <c r="V292" s="7" t="s">
        <v>92</v>
      </c>
      <c r="W292" s="7">
        <v>17.100000000000001</v>
      </c>
      <c r="X292" s="7">
        <v>170</v>
      </c>
      <c r="Y292" s="7">
        <v>250</v>
      </c>
      <c r="Z292" s="7">
        <v>679</v>
      </c>
      <c r="AA292" s="7" t="s">
        <v>40</v>
      </c>
      <c r="AB292" s="7">
        <v>2770</v>
      </c>
      <c r="AC292" s="5">
        <v>1852</v>
      </c>
      <c r="AD292" s="5">
        <v>4584</v>
      </c>
      <c r="AE292" s="5">
        <v>1634</v>
      </c>
      <c r="AF292" s="5">
        <v>2766</v>
      </c>
    </row>
    <row r="293" spans="1:32">
      <c r="A293" s="7" t="s">
        <v>742</v>
      </c>
      <c r="B293" s="7" t="s">
        <v>759</v>
      </c>
      <c r="C293" s="7" t="s">
        <v>759</v>
      </c>
      <c r="D293" s="7" t="s">
        <v>746</v>
      </c>
      <c r="E293" s="7" t="str">
        <f t="shared" si="8"/>
        <v xml:space="preserve">VOLKSWAGEN ID.5 Pro </v>
      </c>
      <c r="F293" s="10" t="s">
        <v>35</v>
      </c>
      <c r="G293" s="7" t="s">
        <v>760</v>
      </c>
      <c r="H293" s="7" t="s">
        <v>36</v>
      </c>
      <c r="I293" s="7">
        <v>1800000</v>
      </c>
      <c r="L293" s="7" t="s">
        <v>761</v>
      </c>
      <c r="M293" s="7" t="s">
        <v>745</v>
      </c>
      <c r="N293" s="7" t="s">
        <v>745</v>
      </c>
      <c r="Q293" s="7">
        <v>77</v>
      </c>
      <c r="R293" s="7">
        <v>517</v>
      </c>
      <c r="S293" s="7">
        <v>590</v>
      </c>
      <c r="T293" s="7" t="s">
        <v>754</v>
      </c>
      <c r="U293" s="7" t="s">
        <v>92</v>
      </c>
      <c r="V293" s="7" t="s">
        <v>92</v>
      </c>
      <c r="W293" s="7">
        <v>16.2</v>
      </c>
      <c r="X293" s="7">
        <v>160</v>
      </c>
      <c r="Y293" s="7" t="s">
        <v>762</v>
      </c>
      <c r="Z293" s="7">
        <v>235</v>
      </c>
      <c r="AA293" s="7" t="s">
        <v>40</v>
      </c>
      <c r="AB293" s="7">
        <v>2650</v>
      </c>
      <c r="AC293" s="5">
        <v>1852</v>
      </c>
      <c r="AD293" s="5">
        <v>4599</v>
      </c>
      <c r="AE293" s="5">
        <v>1615</v>
      </c>
      <c r="AF293" s="5">
        <v>2766</v>
      </c>
    </row>
    <row r="294" spans="1:32">
      <c r="A294" s="7" t="s">
        <v>742</v>
      </c>
      <c r="B294" s="7" t="s">
        <v>759</v>
      </c>
      <c r="C294" s="7" t="s">
        <v>759</v>
      </c>
      <c r="D294" s="7" t="s">
        <v>746</v>
      </c>
      <c r="E294" s="7" t="str">
        <f t="shared" si="8"/>
        <v xml:space="preserve">VOLKSWAGEN ID.5 Pro </v>
      </c>
      <c r="F294" s="10" t="s">
        <v>35</v>
      </c>
      <c r="G294" s="7" t="s">
        <v>760</v>
      </c>
      <c r="H294" s="7" t="s">
        <v>36</v>
      </c>
      <c r="I294" s="7">
        <v>1840000</v>
      </c>
      <c r="L294" s="7" t="s">
        <v>753</v>
      </c>
      <c r="M294" s="7" t="s">
        <v>748</v>
      </c>
      <c r="N294" s="7" t="s">
        <v>748</v>
      </c>
      <c r="Q294" s="7">
        <v>77</v>
      </c>
      <c r="R294" s="7">
        <v>556</v>
      </c>
      <c r="S294" s="7">
        <v>640</v>
      </c>
      <c r="T294" s="7" t="s">
        <v>754</v>
      </c>
      <c r="U294" s="7" t="s">
        <v>92</v>
      </c>
      <c r="V294" s="7" t="s">
        <v>92</v>
      </c>
      <c r="W294" s="7">
        <v>15.5</v>
      </c>
      <c r="X294" s="7">
        <v>160</v>
      </c>
      <c r="Y294" s="7">
        <v>210</v>
      </c>
      <c r="Z294" s="7">
        <v>545</v>
      </c>
      <c r="AA294" s="7" t="s">
        <v>40</v>
      </c>
      <c r="AB294" s="7">
        <v>2680</v>
      </c>
      <c r="AC294" s="5">
        <v>1852</v>
      </c>
      <c r="AD294" s="5">
        <v>4599</v>
      </c>
      <c r="AE294" s="5">
        <v>1615</v>
      </c>
      <c r="AF294" s="5">
        <v>2766</v>
      </c>
    </row>
    <row r="295" spans="1:32">
      <c r="A295" s="7" t="s">
        <v>742</v>
      </c>
      <c r="B295" s="7" t="s">
        <v>759</v>
      </c>
      <c r="C295" s="7" t="s">
        <v>759</v>
      </c>
      <c r="D295" s="7" t="s">
        <v>757</v>
      </c>
      <c r="E295" s="7" t="str">
        <f t="shared" si="8"/>
        <v xml:space="preserve">VOLKSWAGEN ID.5 GTX </v>
      </c>
      <c r="F295" s="10" t="s">
        <v>35</v>
      </c>
      <c r="G295" s="7" t="s">
        <v>760</v>
      </c>
      <c r="H295" s="7" t="s">
        <v>36</v>
      </c>
      <c r="I295" s="7">
        <v>2150000</v>
      </c>
      <c r="L295" s="7" t="s">
        <v>753</v>
      </c>
      <c r="M295" s="7" t="s">
        <v>745</v>
      </c>
      <c r="N295" s="7" t="s">
        <v>745</v>
      </c>
      <c r="Q295" s="7">
        <v>77</v>
      </c>
      <c r="R295" s="7">
        <v>509</v>
      </c>
      <c r="S295" s="7">
        <v>580</v>
      </c>
      <c r="T295" s="7" t="s">
        <v>754</v>
      </c>
      <c r="U295" s="7" t="s">
        <v>92</v>
      </c>
      <c r="V295" s="7" t="s">
        <v>92</v>
      </c>
      <c r="W295" s="7">
        <v>17.2</v>
      </c>
      <c r="X295" s="7">
        <v>170</v>
      </c>
      <c r="Y295" s="7">
        <v>220</v>
      </c>
      <c r="Z295" s="7">
        <v>460</v>
      </c>
      <c r="AA295" s="7" t="s">
        <v>40</v>
      </c>
      <c r="AB295" s="7">
        <v>2750</v>
      </c>
      <c r="AC295" s="5">
        <v>1852</v>
      </c>
      <c r="AD295" s="5">
        <v>4599</v>
      </c>
      <c r="AE295" s="5">
        <v>1615</v>
      </c>
      <c r="AF295" s="5">
        <v>2766</v>
      </c>
    </row>
    <row r="296" spans="1:32">
      <c r="A296" s="7" t="s">
        <v>742</v>
      </c>
      <c r="B296" s="7" t="s">
        <v>759</v>
      </c>
      <c r="C296" s="7" t="s">
        <v>759</v>
      </c>
      <c r="D296" s="7" t="s">
        <v>763</v>
      </c>
      <c r="E296" s="7" t="str">
        <f t="shared" si="8"/>
        <v>VOLKSWAGEN ID.5 GTX</v>
      </c>
      <c r="F296" s="10" t="s">
        <v>35</v>
      </c>
      <c r="G296" s="7" t="s">
        <v>760</v>
      </c>
      <c r="H296" s="7" t="s">
        <v>36</v>
      </c>
      <c r="I296" s="7">
        <v>2190000</v>
      </c>
      <c r="L296" s="7" t="s">
        <v>753</v>
      </c>
      <c r="M296" s="7" t="s">
        <v>748</v>
      </c>
      <c r="N296" s="7" t="s">
        <v>748</v>
      </c>
      <c r="Q296" s="7">
        <v>77</v>
      </c>
      <c r="R296" s="7">
        <v>556</v>
      </c>
      <c r="S296" s="7">
        <v>640</v>
      </c>
      <c r="T296" s="7" t="s">
        <v>754</v>
      </c>
      <c r="U296" s="7" t="s">
        <v>92</v>
      </c>
      <c r="V296" s="7" t="s">
        <v>92</v>
      </c>
      <c r="W296" s="7">
        <v>15.5</v>
      </c>
      <c r="X296" s="7">
        <v>170</v>
      </c>
      <c r="Y296" s="7">
        <v>210</v>
      </c>
      <c r="Z296" s="7">
        <v>545</v>
      </c>
      <c r="AA296" s="7" t="s">
        <v>40</v>
      </c>
      <c r="AB296" s="7">
        <v>2680</v>
      </c>
      <c r="AC296" s="5">
        <v>1852</v>
      </c>
      <c r="AD296" s="5">
        <v>4599</v>
      </c>
      <c r="AE296" s="5">
        <v>1615</v>
      </c>
      <c r="AF296" s="5">
        <v>2766</v>
      </c>
    </row>
    <row r="297" spans="1:32">
      <c r="A297" s="7" t="s">
        <v>742</v>
      </c>
      <c r="B297" s="7" t="s">
        <v>764</v>
      </c>
      <c r="C297" s="7" t="s">
        <v>765</v>
      </c>
      <c r="D297" s="7" t="s">
        <v>88</v>
      </c>
      <c r="E297" s="7" t="str">
        <f t="shared" si="8"/>
        <v>VOLKSWAGEN ID.6 CROZZ Standard</v>
      </c>
      <c r="F297" s="10" t="s">
        <v>35</v>
      </c>
      <c r="G297" s="7" t="s">
        <v>766</v>
      </c>
      <c r="H297" s="7" t="s">
        <v>36</v>
      </c>
      <c r="I297" s="7">
        <v>1890000</v>
      </c>
      <c r="L297" s="7" t="s">
        <v>744</v>
      </c>
      <c r="M297" s="7" t="s">
        <v>91</v>
      </c>
      <c r="N297" s="7" t="s">
        <v>91</v>
      </c>
      <c r="Q297" s="7">
        <v>62.6</v>
      </c>
      <c r="R297" s="7" t="s">
        <v>767</v>
      </c>
      <c r="T297" s="7" t="s">
        <v>754</v>
      </c>
      <c r="U297" s="7" t="s">
        <v>92</v>
      </c>
      <c r="V297" s="7" t="s">
        <v>92</v>
      </c>
      <c r="W297" s="7">
        <v>14.4</v>
      </c>
      <c r="X297" s="7">
        <v>152</v>
      </c>
      <c r="Y297" s="7">
        <v>132</v>
      </c>
      <c r="Z297" s="7">
        <v>310</v>
      </c>
      <c r="AA297" s="7" t="s">
        <v>40</v>
      </c>
      <c r="AB297" s="7">
        <v>2710</v>
      </c>
      <c r="AC297" s="5">
        <v>1848</v>
      </c>
      <c r="AD297" s="5">
        <v>4891</v>
      </c>
      <c r="AE297" s="5">
        <v>1679</v>
      </c>
      <c r="AF297" s="5">
        <v>2965</v>
      </c>
    </row>
    <row r="298" spans="1:32">
      <c r="A298" s="7" t="s">
        <v>742</v>
      </c>
      <c r="B298" s="7" t="s">
        <v>764</v>
      </c>
      <c r="C298" s="7" t="s">
        <v>764</v>
      </c>
      <c r="D298" s="7" t="s">
        <v>88</v>
      </c>
      <c r="E298" s="7" t="str">
        <f t="shared" si="8"/>
        <v>VOLKSWAGEN ID.6 Standard</v>
      </c>
      <c r="F298" s="10" t="s">
        <v>35</v>
      </c>
      <c r="G298" s="7" t="s">
        <v>766</v>
      </c>
      <c r="H298" s="7" t="s">
        <v>36</v>
      </c>
      <c r="I298" s="7">
        <v>1890000</v>
      </c>
      <c r="L298" s="7" t="s">
        <v>744</v>
      </c>
      <c r="M298" s="7" t="s">
        <v>91</v>
      </c>
      <c r="N298" s="7" t="s">
        <v>91</v>
      </c>
      <c r="Q298" s="7">
        <v>62.6</v>
      </c>
      <c r="R298" s="7" t="s">
        <v>768</v>
      </c>
      <c r="T298" s="7" t="s">
        <v>754</v>
      </c>
      <c r="U298" s="7" t="s">
        <v>92</v>
      </c>
      <c r="V298" s="7" t="s">
        <v>92</v>
      </c>
      <c r="W298" s="7">
        <v>14.4</v>
      </c>
      <c r="X298" s="7">
        <v>152</v>
      </c>
      <c r="Y298" s="7">
        <v>132</v>
      </c>
      <c r="Z298" s="7">
        <v>310</v>
      </c>
      <c r="AA298" s="7" t="s">
        <v>40</v>
      </c>
      <c r="AB298" s="7">
        <v>2730</v>
      </c>
      <c r="AC298" s="5">
        <v>1848</v>
      </c>
      <c r="AD298" s="5">
        <v>4891</v>
      </c>
      <c r="AE298" s="5">
        <v>1679</v>
      </c>
      <c r="AF298" s="5">
        <v>2965</v>
      </c>
    </row>
    <row r="299" spans="1:32">
      <c r="A299" s="7" t="s">
        <v>742</v>
      </c>
      <c r="B299" s="7" t="s">
        <v>769</v>
      </c>
      <c r="C299" s="7" t="s">
        <v>769</v>
      </c>
      <c r="D299" s="7" t="s">
        <v>181</v>
      </c>
      <c r="E299" s="7" t="str">
        <f t="shared" si="8"/>
        <v>VOLKSWAGEN ID BUZZ Pro</v>
      </c>
      <c r="F299" s="10" t="s">
        <v>60</v>
      </c>
      <c r="G299" s="7" t="s">
        <v>60</v>
      </c>
      <c r="H299" s="7" t="s">
        <v>36</v>
      </c>
      <c r="I299" s="7">
        <v>3690000</v>
      </c>
      <c r="L299" s="7" t="s">
        <v>770</v>
      </c>
      <c r="M299" s="7" t="s">
        <v>748</v>
      </c>
      <c r="N299" s="7" t="s">
        <v>748</v>
      </c>
      <c r="Q299" s="7">
        <v>79</v>
      </c>
      <c r="R299" s="7">
        <v>460</v>
      </c>
      <c r="S299" s="7">
        <v>520</v>
      </c>
      <c r="T299" s="7" t="s">
        <v>754</v>
      </c>
      <c r="U299" s="7" t="s">
        <v>92</v>
      </c>
      <c r="V299" s="7" t="s">
        <v>92</v>
      </c>
      <c r="W299" s="7">
        <v>19</v>
      </c>
      <c r="X299" s="7">
        <v>158</v>
      </c>
      <c r="Y299" s="7">
        <v>210</v>
      </c>
      <c r="Z299" s="7">
        <v>560</v>
      </c>
      <c r="AA299" s="7" t="s">
        <v>40</v>
      </c>
      <c r="AB299" s="7">
        <v>3000</v>
      </c>
      <c r="AC299" s="5">
        <v>1985</v>
      </c>
      <c r="AD299" s="5">
        <v>4712</v>
      </c>
      <c r="AE299" s="5">
        <v>1937</v>
      </c>
      <c r="AF299" s="5">
        <v>2988</v>
      </c>
    </row>
    <row r="300" spans="1:32">
      <c r="A300" s="7" t="s">
        <v>742</v>
      </c>
      <c r="B300" s="7" t="s">
        <v>769</v>
      </c>
      <c r="C300" s="7" t="s">
        <v>771</v>
      </c>
      <c r="D300" s="7" t="s">
        <v>772</v>
      </c>
      <c r="E300" s="7" t="str">
        <f t="shared" si="8"/>
        <v>VOLKSWAGEN ID. Buzz Cargo</v>
      </c>
      <c r="F300" s="7" t="s">
        <v>773</v>
      </c>
      <c r="G300" s="7" t="s">
        <v>774</v>
      </c>
      <c r="H300" s="7" t="s">
        <v>36</v>
      </c>
      <c r="I300" s="7">
        <v>2990000</v>
      </c>
      <c r="L300" s="7" t="s">
        <v>770</v>
      </c>
      <c r="M300" s="7" t="s">
        <v>748</v>
      </c>
      <c r="N300" s="7" t="s">
        <v>748</v>
      </c>
      <c r="Q300" s="7">
        <v>79</v>
      </c>
      <c r="R300" s="7">
        <v>455</v>
      </c>
      <c r="S300" s="7">
        <v>510</v>
      </c>
      <c r="T300" s="7" t="s">
        <v>754</v>
      </c>
      <c r="U300" s="7" t="s">
        <v>92</v>
      </c>
      <c r="V300" s="7" t="s">
        <v>92</v>
      </c>
      <c r="W300" s="7">
        <v>19.2</v>
      </c>
      <c r="X300" s="7">
        <v>158</v>
      </c>
      <c r="Y300" s="7">
        <v>210</v>
      </c>
      <c r="Z300" s="7">
        <v>560</v>
      </c>
      <c r="AA300" s="7" t="s">
        <v>40</v>
      </c>
      <c r="AB300" s="7">
        <v>3000</v>
      </c>
      <c r="AC300" s="5">
        <v>1985</v>
      </c>
      <c r="AD300" s="5">
        <v>4712</v>
      </c>
      <c r="AE300" s="5">
        <v>1937</v>
      </c>
      <c r="AF300" s="5">
        <v>2988</v>
      </c>
    </row>
    <row r="301" spans="1:32">
      <c r="A301" s="7" t="s">
        <v>742</v>
      </c>
      <c r="B301" s="7" t="s">
        <v>769</v>
      </c>
      <c r="C301" s="7" t="s">
        <v>771</v>
      </c>
      <c r="D301" s="7" t="s">
        <v>775</v>
      </c>
      <c r="E301" s="7" t="str">
        <f t="shared" si="8"/>
        <v>VOLKSWAGEN ID. Buzz GTX รุ่นฐานล้อสั้นมาตรฐาน</v>
      </c>
      <c r="F301" s="10" t="s">
        <v>60</v>
      </c>
      <c r="G301" s="7" t="s">
        <v>60</v>
      </c>
      <c r="H301" s="7" t="s">
        <v>36</v>
      </c>
      <c r="I301" s="7">
        <v>4590000</v>
      </c>
      <c r="L301" s="7" t="s">
        <v>770</v>
      </c>
      <c r="M301" s="7" t="s">
        <v>748</v>
      </c>
      <c r="N301" s="7" t="s">
        <v>748</v>
      </c>
      <c r="Q301" s="7">
        <v>79</v>
      </c>
      <c r="R301" s="7">
        <v>423</v>
      </c>
      <c r="S301" s="7">
        <v>480</v>
      </c>
      <c r="T301" s="7" t="s">
        <v>754</v>
      </c>
      <c r="U301" s="7" t="s">
        <v>92</v>
      </c>
      <c r="V301" s="7" t="s">
        <v>92</v>
      </c>
      <c r="W301" s="7">
        <v>20.5</v>
      </c>
      <c r="X301" s="7">
        <v>150</v>
      </c>
      <c r="Y301" s="7">
        <v>250</v>
      </c>
      <c r="Z301" s="7">
        <v>561</v>
      </c>
      <c r="AA301" s="7" t="s">
        <v>40</v>
      </c>
      <c r="AB301" s="7">
        <v>2652</v>
      </c>
      <c r="AC301" s="5">
        <v>1985</v>
      </c>
      <c r="AD301" s="5">
        <v>4712</v>
      </c>
      <c r="AE301" s="5">
        <v>1937</v>
      </c>
      <c r="AF301" s="5">
        <v>2988</v>
      </c>
    </row>
    <row r="302" spans="1:32">
      <c r="A302" s="7" t="s">
        <v>776</v>
      </c>
      <c r="B302" s="7" t="s">
        <v>777</v>
      </c>
      <c r="C302" s="7" t="s">
        <v>778</v>
      </c>
      <c r="D302" s="7" t="s">
        <v>779</v>
      </c>
      <c r="E302" s="7" t="str">
        <f t="shared" si="8"/>
        <v>TESLA Model S EV Long Range / Dual Motor AWD</v>
      </c>
      <c r="F302" s="10" t="s">
        <v>53</v>
      </c>
      <c r="G302" s="7" t="s">
        <v>53</v>
      </c>
      <c r="H302" s="7" t="s">
        <v>36</v>
      </c>
      <c r="I302" s="7">
        <v>3780000</v>
      </c>
      <c r="M302" s="7" t="s">
        <v>398</v>
      </c>
      <c r="N302" s="7" t="s">
        <v>398</v>
      </c>
      <c r="Q302" s="7">
        <v>100</v>
      </c>
      <c r="R302" s="7">
        <v>649</v>
      </c>
      <c r="S302" s="7" t="s">
        <v>780</v>
      </c>
      <c r="T302" s="7" t="s">
        <v>754</v>
      </c>
      <c r="U302" s="7" t="s">
        <v>781</v>
      </c>
      <c r="V302" s="7" t="s">
        <v>781</v>
      </c>
      <c r="W302" s="7">
        <v>17.5</v>
      </c>
      <c r="X302" s="7">
        <v>126</v>
      </c>
      <c r="Y302" s="7">
        <v>504</v>
      </c>
      <c r="Z302" s="7">
        <v>761</v>
      </c>
      <c r="AA302" s="7" t="s">
        <v>40</v>
      </c>
      <c r="AB302" s="7" t="s">
        <v>782</v>
      </c>
      <c r="AC302" s="5">
        <v>1987</v>
      </c>
      <c r="AD302" s="5">
        <v>5021</v>
      </c>
      <c r="AE302" s="5">
        <v>1431</v>
      </c>
      <c r="AF302" s="5">
        <v>2960</v>
      </c>
    </row>
    <row r="303" spans="1:32">
      <c r="A303" s="7" t="s">
        <v>776</v>
      </c>
      <c r="B303" s="7" t="s">
        <v>777</v>
      </c>
      <c r="C303" s="7" t="s">
        <v>777</v>
      </c>
      <c r="D303" s="7" t="s">
        <v>783</v>
      </c>
      <c r="E303" s="7" t="str">
        <f t="shared" si="8"/>
        <v>TESLA Model S Plaid</v>
      </c>
      <c r="F303" s="10" t="s">
        <v>53</v>
      </c>
      <c r="G303" s="7" t="s">
        <v>53</v>
      </c>
      <c r="H303" s="7" t="s">
        <v>36</v>
      </c>
      <c r="I303" s="7">
        <v>4900000</v>
      </c>
      <c r="L303" s="7" t="s">
        <v>784</v>
      </c>
      <c r="M303" s="7" t="s">
        <v>398</v>
      </c>
      <c r="N303" s="7" t="s">
        <v>398</v>
      </c>
      <c r="Q303" s="7">
        <v>100</v>
      </c>
      <c r="R303" s="7">
        <v>592</v>
      </c>
      <c r="S303" s="7" t="s">
        <v>780</v>
      </c>
      <c r="T303" s="7" t="s">
        <v>754</v>
      </c>
      <c r="U303" s="7" t="s">
        <v>781</v>
      </c>
      <c r="V303" s="7" t="s">
        <v>781</v>
      </c>
      <c r="W303" s="7">
        <v>18.7</v>
      </c>
      <c r="X303" s="7">
        <v>126</v>
      </c>
      <c r="Y303" s="7">
        <v>761</v>
      </c>
      <c r="Z303" s="7">
        <v>1424</v>
      </c>
      <c r="AA303" s="7" t="s">
        <v>40</v>
      </c>
      <c r="AB303" s="7" t="s">
        <v>782</v>
      </c>
      <c r="AC303" s="5">
        <v>1987</v>
      </c>
      <c r="AD303" s="5">
        <v>5021</v>
      </c>
      <c r="AE303" s="5">
        <v>1431</v>
      </c>
      <c r="AF303" s="5">
        <v>2960</v>
      </c>
    </row>
    <row r="304" spans="1:32">
      <c r="A304" s="7" t="s">
        <v>776</v>
      </c>
      <c r="B304" s="7" t="s">
        <v>785</v>
      </c>
      <c r="C304" s="7" t="s">
        <v>786</v>
      </c>
      <c r="D304" s="7" t="s">
        <v>255</v>
      </c>
      <c r="E304" s="7" t="str">
        <f t="shared" si="8"/>
        <v>TESLA MODEL 3 Standard RWD</v>
      </c>
      <c r="F304" s="10" t="s">
        <v>53</v>
      </c>
      <c r="G304" s="7" t="s">
        <v>53</v>
      </c>
      <c r="H304" s="7" t="s">
        <v>36</v>
      </c>
      <c r="I304" s="7">
        <v>1149000</v>
      </c>
      <c r="L304" s="7" t="s">
        <v>787</v>
      </c>
      <c r="M304" s="7" t="s">
        <v>91</v>
      </c>
      <c r="N304" s="7" t="s">
        <v>91</v>
      </c>
      <c r="Q304" s="7">
        <v>57.5</v>
      </c>
      <c r="R304" s="7">
        <v>534</v>
      </c>
      <c r="S304" s="7">
        <v>559</v>
      </c>
      <c r="T304" s="7" t="s">
        <v>754</v>
      </c>
      <c r="U304" s="7" t="s">
        <v>39</v>
      </c>
      <c r="V304" s="7" t="s">
        <v>39</v>
      </c>
      <c r="W304" s="7">
        <v>13.2</v>
      </c>
      <c r="X304" s="7">
        <v>138</v>
      </c>
      <c r="Y304" s="7">
        <v>208</v>
      </c>
      <c r="Z304" s="7">
        <v>420</v>
      </c>
      <c r="AA304" s="7" t="s">
        <v>40</v>
      </c>
      <c r="AB304" s="7">
        <v>2200</v>
      </c>
      <c r="AC304" s="5">
        <v>1850</v>
      </c>
      <c r="AD304" s="5">
        <v>4720</v>
      </c>
      <c r="AE304" s="5">
        <v>1441</v>
      </c>
      <c r="AF304" s="5">
        <v>2875</v>
      </c>
    </row>
    <row r="305" spans="1:32">
      <c r="A305" s="7" t="s">
        <v>776</v>
      </c>
      <c r="B305" s="7" t="s">
        <v>785</v>
      </c>
      <c r="C305" s="7" t="s">
        <v>785</v>
      </c>
      <c r="D305" s="7" t="s">
        <v>55</v>
      </c>
      <c r="E305" s="7" t="str">
        <f t="shared" si="8"/>
        <v>TESLA Model 3 Premium RWD</v>
      </c>
      <c r="F305" s="10" t="s">
        <v>53</v>
      </c>
      <c r="G305" s="7" t="s">
        <v>53</v>
      </c>
      <c r="H305" s="7" t="s">
        <v>36</v>
      </c>
      <c r="I305" s="7">
        <v>1439000</v>
      </c>
      <c r="L305" s="7" t="s">
        <v>788</v>
      </c>
      <c r="M305" s="7" t="s">
        <v>91</v>
      </c>
      <c r="N305" s="7" t="s">
        <v>91</v>
      </c>
      <c r="Q305" s="7">
        <v>57.5</v>
      </c>
      <c r="R305" s="7">
        <v>534</v>
      </c>
      <c r="S305" s="7">
        <v>559</v>
      </c>
      <c r="T305" s="7" t="s">
        <v>754</v>
      </c>
      <c r="U305" s="7" t="s">
        <v>39</v>
      </c>
      <c r="V305" s="7" t="s">
        <v>39</v>
      </c>
      <c r="W305" s="7">
        <v>13.2</v>
      </c>
      <c r="X305" s="7">
        <v>138</v>
      </c>
      <c r="Y305" s="7">
        <v>255</v>
      </c>
      <c r="Z305" s="7">
        <v>420</v>
      </c>
      <c r="AA305" s="7" t="s">
        <v>40</v>
      </c>
      <c r="AB305" s="7">
        <v>2200</v>
      </c>
      <c r="AC305" s="5">
        <v>1850</v>
      </c>
      <c r="AD305" s="5">
        <v>4720</v>
      </c>
      <c r="AE305" s="5">
        <v>1441</v>
      </c>
      <c r="AF305" s="5">
        <v>2875</v>
      </c>
    </row>
    <row r="306" spans="1:32">
      <c r="A306" s="7" t="s">
        <v>776</v>
      </c>
      <c r="B306" s="7" t="s">
        <v>785</v>
      </c>
      <c r="C306" s="7" t="s">
        <v>789</v>
      </c>
      <c r="D306" s="7" t="s">
        <v>790</v>
      </c>
      <c r="E306" s="7" t="str">
        <f t="shared" si="8"/>
        <v>TESLA Model 3 EV Premium Long Range AWD</v>
      </c>
      <c r="F306" s="10" t="s">
        <v>53</v>
      </c>
      <c r="G306" s="7" t="s">
        <v>53</v>
      </c>
      <c r="H306" s="7" t="s">
        <v>36</v>
      </c>
      <c r="I306" s="7">
        <v>1799000</v>
      </c>
      <c r="L306" s="7" t="s">
        <v>787</v>
      </c>
      <c r="M306" s="7" t="s">
        <v>415</v>
      </c>
      <c r="N306" s="7" t="s">
        <v>415</v>
      </c>
      <c r="Q306" s="7">
        <v>79</v>
      </c>
      <c r="R306" s="7">
        <v>629</v>
      </c>
      <c r="S306" s="7">
        <v>660</v>
      </c>
      <c r="T306" s="7" t="s">
        <v>754</v>
      </c>
      <c r="U306" s="7" t="s">
        <v>92</v>
      </c>
      <c r="V306" s="7" t="s">
        <v>92</v>
      </c>
      <c r="W306" s="7">
        <v>14</v>
      </c>
      <c r="X306" s="7">
        <v>138</v>
      </c>
      <c r="Y306" s="7">
        <v>366</v>
      </c>
      <c r="Z306" s="7">
        <v>493</v>
      </c>
      <c r="AA306" s="7" t="s">
        <v>40</v>
      </c>
      <c r="AB306" s="7">
        <v>2263</v>
      </c>
      <c r="AC306" s="5">
        <v>1850</v>
      </c>
      <c r="AD306" s="5">
        <v>4720</v>
      </c>
      <c r="AE306" s="5">
        <v>1441</v>
      </c>
      <c r="AF306" s="5">
        <v>2875</v>
      </c>
    </row>
    <row r="307" spans="1:32">
      <c r="A307" s="7" t="s">
        <v>776</v>
      </c>
      <c r="B307" s="7" t="s">
        <v>785</v>
      </c>
      <c r="C307" s="7" t="s">
        <v>785</v>
      </c>
      <c r="D307" s="7" t="s">
        <v>791</v>
      </c>
      <c r="E307" s="7" t="str">
        <f t="shared" si="8"/>
        <v>TESLA Model 3 Premium Long Range RWD</v>
      </c>
      <c r="F307" s="10" t="s">
        <v>53</v>
      </c>
      <c r="G307" s="7" t="s">
        <v>53</v>
      </c>
      <c r="H307" s="7" t="s">
        <v>36</v>
      </c>
      <c r="I307" s="7" t="s">
        <v>792</v>
      </c>
      <c r="L307" s="7" t="s">
        <v>793</v>
      </c>
      <c r="M307" s="7" t="s">
        <v>415</v>
      </c>
      <c r="N307" s="7" t="s">
        <v>415</v>
      </c>
      <c r="Q307" s="7">
        <v>79</v>
      </c>
      <c r="R307" s="7">
        <v>750</v>
      </c>
      <c r="S307" s="7">
        <v>820</v>
      </c>
      <c r="T307" s="7" t="s">
        <v>754</v>
      </c>
      <c r="U307" s="7" t="s">
        <v>92</v>
      </c>
      <c r="V307" s="7" t="s">
        <v>92</v>
      </c>
      <c r="W307" s="7">
        <v>12.5</v>
      </c>
      <c r="X307" s="7">
        <v>138</v>
      </c>
      <c r="Y307" s="7">
        <v>235</v>
      </c>
      <c r="Z307" s="7">
        <v>450</v>
      </c>
      <c r="AA307" s="7" t="s">
        <v>40</v>
      </c>
      <c r="AB307" s="7">
        <v>2186</v>
      </c>
      <c r="AC307" s="5">
        <v>1850</v>
      </c>
      <c r="AD307" s="5">
        <v>4720</v>
      </c>
      <c r="AE307" s="5">
        <v>1441</v>
      </c>
      <c r="AF307" s="5">
        <v>2875</v>
      </c>
    </row>
    <row r="308" spans="1:32">
      <c r="A308" s="7" t="s">
        <v>776</v>
      </c>
      <c r="B308" s="7" t="s">
        <v>785</v>
      </c>
      <c r="C308" s="7" t="s">
        <v>785</v>
      </c>
      <c r="D308" s="7" t="s">
        <v>794</v>
      </c>
      <c r="E308" s="7" t="str">
        <f t="shared" si="8"/>
        <v>TESLA Model 3 Premium Performance AWD (Performance AWD)</v>
      </c>
      <c r="F308" s="10" t="s">
        <v>53</v>
      </c>
      <c r="G308" s="7" t="s">
        <v>53</v>
      </c>
      <c r="H308" s="7" t="s">
        <v>36</v>
      </c>
      <c r="I308" s="7">
        <v>2099000</v>
      </c>
      <c r="L308" s="7" t="s">
        <v>787</v>
      </c>
      <c r="M308" s="7" t="s">
        <v>415</v>
      </c>
      <c r="N308" s="7" t="s">
        <v>415</v>
      </c>
      <c r="Q308" s="7">
        <v>79</v>
      </c>
      <c r="R308" s="7">
        <v>571</v>
      </c>
      <c r="S308" s="7">
        <v>628</v>
      </c>
      <c r="T308" s="7" t="s">
        <v>754</v>
      </c>
      <c r="U308" s="7" t="s">
        <v>92</v>
      </c>
      <c r="V308" s="7" t="s">
        <v>92</v>
      </c>
      <c r="W308" s="7">
        <v>16.5</v>
      </c>
      <c r="X308" s="7">
        <v>128</v>
      </c>
      <c r="Y308" s="7">
        <v>338</v>
      </c>
      <c r="Z308" s="7">
        <v>723</v>
      </c>
      <c r="AA308" s="7" t="s">
        <v>40</v>
      </c>
      <c r="AB308" s="7">
        <v>2268</v>
      </c>
      <c r="AC308" s="5">
        <v>1850</v>
      </c>
      <c r="AD308" s="5">
        <v>4720</v>
      </c>
      <c r="AE308" s="5">
        <v>1441</v>
      </c>
      <c r="AF308" s="5">
        <v>2875</v>
      </c>
    </row>
    <row r="309" spans="1:32">
      <c r="A309" s="7" t="s">
        <v>776</v>
      </c>
      <c r="B309" s="7" t="s">
        <v>138</v>
      </c>
      <c r="C309" s="7" t="s">
        <v>795</v>
      </c>
      <c r="D309" s="7" t="s">
        <v>779</v>
      </c>
      <c r="E309" s="7" t="str">
        <f t="shared" si="8"/>
        <v>TESLA MODEL X EV Long Range / Dual Motor AWD</v>
      </c>
      <c r="F309" s="10" t="s">
        <v>35</v>
      </c>
      <c r="G309" s="7" t="s">
        <v>35</v>
      </c>
      <c r="H309" s="7" t="s">
        <v>36</v>
      </c>
      <c r="I309" s="7">
        <v>4800000</v>
      </c>
      <c r="L309" s="7" t="s">
        <v>787</v>
      </c>
      <c r="M309" s="7" t="s">
        <v>398</v>
      </c>
      <c r="N309" s="7" t="s">
        <v>398</v>
      </c>
      <c r="Q309" s="7">
        <v>95</v>
      </c>
      <c r="R309" s="7">
        <v>576</v>
      </c>
      <c r="S309" s="7">
        <v>615</v>
      </c>
      <c r="T309" s="7" t="s">
        <v>754</v>
      </c>
      <c r="U309" s="7" t="s">
        <v>781</v>
      </c>
      <c r="V309" s="7" t="s">
        <v>781</v>
      </c>
      <c r="W309" s="7">
        <v>19.100000000000001</v>
      </c>
      <c r="X309" s="7">
        <v>146</v>
      </c>
      <c r="Y309" s="7">
        <v>500</v>
      </c>
      <c r="Z309" s="7">
        <v>755</v>
      </c>
      <c r="AA309" s="7" t="s">
        <v>40</v>
      </c>
      <c r="AB309" s="7">
        <v>2780</v>
      </c>
      <c r="AC309" s="5">
        <v>1999</v>
      </c>
      <c r="AD309" s="5">
        <v>5057</v>
      </c>
      <c r="AE309" s="5">
        <v>1680</v>
      </c>
      <c r="AF309" s="5">
        <v>2965</v>
      </c>
    </row>
    <row r="310" spans="1:32">
      <c r="A310" s="7" t="s">
        <v>776</v>
      </c>
      <c r="B310" s="7" t="s">
        <v>138</v>
      </c>
      <c r="C310" s="7" t="s">
        <v>138</v>
      </c>
      <c r="D310" s="7" t="s">
        <v>783</v>
      </c>
      <c r="E310" s="7" t="str">
        <f t="shared" si="8"/>
        <v>TESLA Model X Plaid</v>
      </c>
      <c r="F310" s="10" t="s">
        <v>35</v>
      </c>
      <c r="G310" s="7" t="s">
        <v>35</v>
      </c>
      <c r="H310" s="7" t="s">
        <v>36</v>
      </c>
      <c r="I310" s="7">
        <v>5900000</v>
      </c>
      <c r="L310" s="7" t="s">
        <v>787</v>
      </c>
      <c r="M310" s="7" t="s">
        <v>398</v>
      </c>
      <c r="N310" s="7" t="s">
        <v>398</v>
      </c>
      <c r="Q310" s="7">
        <v>95</v>
      </c>
      <c r="R310" s="7">
        <v>543</v>
      </c>
      <c r="S310" s="7">
        <v>580</v>
      </c>
      <c r="T310" s="7" t="s">
        <v>754</v>
      </c>
      <c r="U310" s="7" t="s">
        <v>781</v>
      </c>
      <c r="V310" s="7" t="s">
        <v>781</v>
      </c>
      <c r="W310" s="7">
        <v>20.8</v>
      </c>
      <c r="X310" s="7">
        <v>146</v>
      </c>
      <c r="Y310" s="7">
        <v>760</v>
      </c>
      <c r="Z310" s="7">
        <v>1020</v>
      </c>
      <c r="AA310" s="7" t="s">
        <v>40</v>
      </c>
      <c r="AB310" s="7">
        <v>2832</v>
      </c>
      <c r="AC310" s="5">
        <v>1999</v>
      </c>
      <c r="AD310" s="5">
        <v>5057</v>
      </c>
      <c r="AE310" s="5">
        <v>1680</v>
      </c>
      <c r="AF310" s="5">
        <v>2965</v>
      </c>
    </row>
    <row r="311" spans="1:32">
      <c r="A311" s="7" t="s">
        <v>776</v>
      </c>
      <c r="B311" s="7" t="s">
        <v>796</v>
      </c>
      <c r="C311" s="7" t="s">
        <v>797</v>
      </c>
      <c r="D311" s="7" t="s">
        <v>798</v>
      </c>
      <c r="E311" s="7" t="str">
        <f t="shared" si="8"/>
        <v xml:space="preserve">TESLA MODEL Y Rear-Wheel Drive (RWD) </v>
      </c>
      <c r="F311" s="10" t="s">
        <v>35</v>
      </c>
      <c r="G311" s="7" t="s">
        <v>799</v>
      </c>
      <c r="H311" s="7" t="s">
        <v>36</v>
      </c>
      <c r="I311" s="7">
        <v>1624000</v>
      </c>
      <c r="L311" s="7" t="s">
        <v>800</v>
      </c>
      <c r="M311" s="7" t="s">
        <v>91</v>
      </c>
      <c r="N311" s="7" t="s">
        <v>91</v>
      </c>
      <c r="Q311" s="7">
        <v>60</v>
      </c>
      <c r="R311" s="7">
        <v>455</v>
      </c>
      <c r="S311" s="7">
        <v>510</v>
      </c>
      <c r="T311" s="7" t="s">
        <v>754</v>
      </c>
      <c r="U311" s="7" t="s">
        <v>39</v>
      </c>
      <c r="V311" s="7" t="s">
        <v>39</v>
      </c>
      <c r="W311" s="7">
        <v>15.7</v>
      </c>
      <c r="X311" s="7">
        <v>172</v>
      </c>
      <c r="Y311" s="7">
        <v>220</v>
      </c>
      <c r="Z311" s="7">
        <v>420</v>
      </c>
      <c r="AA311" s="7" t="s">
        <v>40</v>
      </c>
      <c r="AB311" s="7">
        <v>2432</v>
      </c>
      <c r="AC311" s="5">
        <v>1921</v>
      </c>
      <c r="AD311" s="5">
        <v>4790</v>
      </c>
      <c r="AE311" s="5">
        <v>1624</v>
      </c>
      <c r="AF311" s="5">
        <v>2890</v>
      </c>
    </row>
    <row r="312" spans="1:32">
      <c r="A312" s="7" t="s">
        <v>776</v>
      </c>
      <c r="B312" s="7" t="s">
        <v>796</v>
      </c>
      <c r="C312" s="7" t="s">
        <v>801</v>
      </c>
      <c r="D312" s="7" t="s">
        <v>798</v>
      </c>
      <c r="E312" s="7" t="str">
        <f t="shared" si="8"/>
        <v xml:space="preserve">TESLA Model Y EV Rear-Wheel Drive (RWD) </v>
      </c>
      <c r="F312" s="10" t="s">
        <v>35</v>
      </c>
      <c r="G312" s="7" t="s">
        <v>799</v>
      </c>
      <c r="H312" s="7" t="s">
        <v>36</v>
      </c>
      <c r="I312" s="7">
        <v>1719000</v>
      </c>
      <c r="L312" s="7" t="s">
        <v>753</v>
      </c>
      <c r="M312" s="7" t="s">
        <v>91</v>
      </c>
      <c r="N312" s="7" t="s">
        <v>91</v>
      </c>
      <c r="Q312" s="7">
        <v>62.5</v>
      </c>
      <c r="R312" s="7">
        <v>466</v>
      </c>
      <c r="S312" s="7">
        <v>522</v>
      </c>
      <c r="T312" s="7" t="s">
        <v>754</v>
      </c>
      <c r="U312" s="7" t="s">
        <v>39</v>
      </c>
      <c r="V312" s="7" t="s">
        <v>39</v>
      </c>
      <c r="W312" s="7">
        <v>15</v>
      </c>
      <c r="X312" s="7">
        <v>172</v>
      </c>
      <c r="Y312" s="7">
        <v>220</v>
      </c>
      <c r="Z312" s="7">
        <v>440</v>
      </c>
      <c r="AA312" s="7" t="s">
        <v>40</v>
      </c>
      <c r="AB312" s="7">
        <v>2448</v>
      </c>
      <c r="AC312" s="5">
        <v>1921</v>
      </c>
      <c r="AD312" s="5">
        <v>4790</v>
      </c>
      <c r="AE312" s="5">
        <v>1624</v>
      </c>
      <c r="AF312" s="5">
        <v>2890</v>
      </c>
    </row>
    <row r="313" spans="1:32">
      <c r="A313" s="7" t="s">
        <v>776</v>
      </c>
      <c r="B313" s="7" t="s">
        <v>802</v>
      </c>
      <c r="C313" s="7" t="s">
        <v>802</v>
      </c>
      <c r="D313" s="7" t="s">
        <v>269</v>
      </c>
      <c r="E313" s="7" t="str">
        <f t="shared" si="8"/>
        <v>TESLA Model Y Long Range AWD</v>
      </c>
      <c r="F313" s="10" t="s">
        <v>35</v>
      </c>
      <c r="G313" s="7" t="s">
        <v>803</v>
      </c>
      <c r="H313" s="7" t="s">
        <v>36</v>
      </c>
      <c r="I313" s="7">
        <v>1949000</v>
      </c>
      <c r="L313" s="7" t="s">
        <v>787</v>
      </c>
      <c r="M313" s="7" t="s">
        <v>415</v>
      </c>
      <c r="N313" s="7" t="s">
        <v>415</v>
      </c>
      <c r="Q313" s="7">
        <v>75</v>
      </c>
      <c r="R313" s="7">
        <v>551</v>
      </c>
      <c r="S313" s="7">
        <v>623</v>
      </c>
      <c r="T313" s="7" t="s">
        <v>754</v>
      </c>
      <c r="U313" s="7" t="s">
        <v>92</v>
      </c>
      <c r="V313" s="7" t="s">
        <v>92</v>
      </c>
      <c r="W313" s="7">
        <v>16.899999999999999</v>
      </c>
      <c r="X313" s="7">
        <v>167</v>
      </c>
      <c r="Y313" s="7">
        <v>378</v>
      </c>
      <c r="Z313" s="7">
        <v>493</v>
      </c>
      <c r="AA313" s="7" t="s">
        <v>40</v>
      </c>
      <c r="AB313" s="7">
        <v>2503</v>
      </c>
      <c r="AC313" s="5">
        <v>1921</v>
      </c>
      <c r="AD313" s="5">
        <v>4790</v>
      </c>
      <c r="AE313" s="5">
        <v>1624</v>
      </c>
      <c r="AF313" s="5">
        <v>2890</v>
      </c>
    </row>
    <row r="314" spans="1:32">
      <c r="A314" s="7" t="s">
        <v>776</v>
      </c>
      <c r="B314" s="7" t="s">
        <v>802</v>
      </c>
      <c r="C314" s="7" t="s">
        <v>802</v>
      </c>
      <c r="D314" s="7" t="s">
        <v>244</v>
      </c>
      <c r="E314" s="7" t="str">
        <f t="shared" si="8"/>
        <v>TESLA Model Y Long Range RWD</v>
      </c>
      <c r="F314" s="10" t="s">
        <v>35</v>
      </c>
      <c r="G314" s="7" t="s">
        <v>803</v>
      </c>
      <c r="H314" s="7" t="s">
        <v>36</v>
      </c>
      <c r="I314" s="7">
        <v>1949001</v>
      </c>
      <c r="L314" s="7" t="s">
        <v>787</v>
      </c>
      <c r="M314" s="7" t="s">
        <v>415</v>
      </c>
      <c r="N314" s="7" t="s">
        <v>415</v>
      </c>
      <c r="Q314" s="7">
        <v>78.400000000000006</v>
      </c>
      <c r="R314" s="7">
        <v>514</v>
      </c>
      <c r="S314" s="7">
        <v>582</v>
      </c>
      <c r="T314" s="7" t="s">
        <v>754</v>
      </c>
      <c r="U314" s="7" t="s">
        <v>92</v>
      </c>
      <c r="V314" s="7" t="s">
        <v>92</v>
      </c>
      <c r="W314" s="7">
        <v>17.100000000000001</v>
      </c>
      <c r="X314" s="7">
        <v>157</v>
      </c>
      <c r="Y314" s="7">
        <v>393</v>
      </c>
      <c r="Z314" s="7">
        <v>660</v>
      </c>
      <c r="AA314" s="7" t="s">
        <v>40</v>
      </c>
      <c r="AB314" s="7">
        <v>2518</v>
      </c>
      <c r="AC314" s="5">
        <v>1921</v>
      </c>
      <c r="AD314" s="5">
        <v>4790</v>
      </c>
      <c r="AE314" s="5">
        <v>1624</v>
      </c>
      <c r="AF314" s="5">
        <v>2890</v>
      </c>
    </row>
    <row r="315" spans="1:32">
      <c r="A315" s="7" t="s">
        <v>776</v>
      </c>
      <c r="B315" s="7" t="s">
        <v>802</v>
      </c>
      <c r="C315" s="7" t="s">
        <v>802</v>
      </c>
      <c r="D315" s="7" t="s">
        <v>67</v>
      </c>
      <c r="E315" s="7" t="str">
        <f t="shared" si="8"/>
        <v>TESLA Model Y Performance AWD</v>
      </c>
      <c r="F315" s="10" t="s">
        <v>35</v>
      </c>
      <c r="G315" s="7" t="s">
        <v>803</v>
      </c>
      <c r="H315" s="7" t="s">
        <v>36</v>
      </c>
      <c r="I315" s="7">
        <v>2014000</v>
      </c>
      <c r="L315" s="7" t="s">
        <v>787</v>
      </c>
      <c r="M315" s="7" t="s">
        <v>415</v>
      </c>
      <c r="N315" s="7" t="s">
        <v>415</v>
      </c>
      <c r="Q315" s="7">
        <v>75</v>
      </c>
      <c r="R315" s="7">
        <v>620</v>
      </c>
      <c r="S315" s="7">
        <v>580</v>
      </c>
      <c r="T315" s="7" t="s">
        <v>754</v>
      </c>
      <c r="U315" s="7" t="s">
        <v>92</v>
      </c>
      <c r="V315" s="7" t="s">
        <v>92</v>
      </c>
      <c r="W315" s="7">
        <v>14.6</v>
      </c>
      <c r="X315" s="7">
        <v>151</v>
      </c>
      <c r="Y315" s="7">
        <v>455</v>
      </c>
      <c r="Z315" s="7">
        <v>639</v>
      </c>
      <c r="AA315" s="7" t="s">
        <v>40</v>
      </c>
      <c r="AB315" s="7">
        <v>2405</v>
      </c>
      <c r="AC315" s="5">
        <v>1921</v>
      </c>
      <c r="AD315" s="5">
        <v>4790</v>
      </c>
      <c r="AE315" s="5">
        <v>1624</v>
      </c>
      <c r="AF315" s="5">
        <v>2890</v>
      </c>
    </row>
    <row r="316" spans="1:32">
      <c r="A316" s="7" t="s">
        <v>776</v>
      </c>
      <c r="B316" s="7" t="s">
        <v>802</v>
      </c>
      <c r="C316" s="7" t="s">
        <v>802</v>
      </c>
      <c r="D316" s="7" t="s">
        <v>804</v>
      </c>
      <c r="E316" s="7" t="str">
        <f t="shared" si="8"/>
        <v xml:space="preserve">TESLA Model Y L Premium </v>
      </c>
      <c r="F316" s="10" t="s">
        <v>35</v>
      </c>
      <c r="G316" s="7" t="s">
        <v>803</v>
      </c>
      <c r="H316" s="7" t="s">
        <v>36</v>
      </c>
      <c r="I316" s="7">
        <v>1999000</v>
      </c>
      <c r="L316" s="7" t="s">
        <v>793</v>
      </c>
      <c r="M316" s="7" t="s">
        <v>91</v>
      </c>
      <c r="N316" s="7" t="s">
        <v>91</v>
      </c>
      <c r="Q316" s="7">
        <v>82</v>
      </c>
      <c r="R316" s="7">
        <v>681</v>
      </c>
      <c r="S316" s="7">
        <v>730</v>
      </c>
      <c r="T316" s="7" t="s">
        <v>754</v>
      </c>
      <c r="U316" s="7" t="s">
        <v>92</v>
      </c>
      <c r="V316" s="7" t="s">
        <v>92</v>
      </c>
      <c r="W316" s="7">
        <v>19.100000000000001</v>
      </c>
      <c r="X316" s="7">
        <v>169</v>
      </c>
      <c r="Y316" s="7">
        <v>340</v>
      </c>
      <c r="Z316" s="7">
        <v>658</v>
      </c>
      <c r="AA316" s="7" t="s">
        <v>40</v>
      </c>
      <c r="AB316" s="7">
        <v>2651</v>
      </c>
      <c r="AC316" s="5">
        <v>1921</v>
      </c>
      <c r="AD316" s="5">
        <v>4970</v>
      </c>
      <c r="AE316" s="5">
        <v>1668</v>
      </c>
      <c r="AF316" s="5">
        <v>3040</v>
      </c>
    </row>
    <row r="317" spans="1:32">
      <c r="A317" s="7" t="s">
        <v>805</v>
      </c>
      <c r="B317" s="7" t="s">
        <v>806</v>
      </c>
      <c r="C317" s="7" t="s">
        <v>806</v>
      </c>
      <c r="D317" s="7" t="s">
        <v>807</v>
      </c>
      <c r="E317" s="7" t="str">
        <f t="shared" si="8"/>
        <v>Firefly (หรือ NIO) Firefly EV 400 Standard</v>
      </c>
      <c r="F317" s="10" t="s">
        <v>47</v>
      </c>
      <c r="G317" s="7" t="s">
        <v>47</v>
      </c>
      <c r="H317" s="7" t="s">
        <v>36</v>
      </c>
      <c r="I317" s="7">
        <v>799000</v>
      </c>
      <c r="L317" s="7" t="s">
        <v>808</v>
      </c>
      <c r="M317" s="7" t="s">
        <v>470</v>
      </c>
      <c r="N317" s="7" t="s">
        <v>470</v>
      </c>
      <c r="Q317" s="7">
        <v>42.1</v>
      </c>
      <c r="R317" s="7">
        <v>330</v>
      </c>
      <c r="S317" s="7">
        <v>400</v>
      </c>
      <c r="T317" s="7" t="s">
        <v>754</v>
      </c>
      <c r="U317" s="7" t="s">
        <v>39</v>
      </c>
      <c r="V317" s="7" t="s">
        <v>39</v>
      </c>
      <c r="W317" s="7">
        <v>14.5</v>
      </c>
      <c r="X317" s="7">
        <v>167</v>
      </c>
      <c r="Y317" s="7">
        <v>105</v>
      </c>
      <c r="Z317" s="7">
        <v>200</v>
      </c>
      <c r="AA317" s="7" t="s">
        <v>40</v>
      </c>
      <c r="AB317" s="7">
        <v>1858</v>
      </c>
      <c r="AC317" s="5">
        <v>1781</v>
      </c>
      <c r="AD317" s="5">
        <v>4003</v>
      </c>
      <c r="AE317" s="5">
        <v>1557</v>
      </c>
      <c r="AF317" s="5">
        <v>2615</v>
      </c>
    </row>
    <row r="318" spans="1:32">
      <c r="A318" s="7" t="s">
        <v>809</v>
      </c>
      <c r="B318" s="7" t="s">
        <v>810</v>
      </c>
      <c r="C318" s="7" t="s">
        <v>810</v>
      </c>
      <c r="D318" s="7" t="s">
        <v>811</v>
      </c>
      <c r="E318" s="7" t="str">
        <f t="shared" si="8"/>
        <v xml:space="preserve">RIDDARA RD6 2WD (RWD) 63kWh </v>
      </c>
      <c r="F318" s="7" t="s">
        <v>224</v>
      </c>
      <c r="G318" s="7" t="s">
        <v>224</v>
      </c>
      <c r="H318" s="7" t="s">
        <v>36</v>
      </c>
      <c r="I318" s="7">
        <v>899000</v>
      </c>
      <c r="L318" s="7" t="s">
        <v>812</v>
      </c>
      <c r="M318" s="7" t="s">
        <v>91</v>
      </c>
      <c r="N318" s="7" t="s">
        <v>91</v>
      </c>
      <c r="Q318" s="7">
        <v>63</v>
      </c>
      <c r="R318" s="7">
        <v>300</v>
      </c>
      <c r="S318" s="7">
        <v>373</v>
      </c>
      <c r="T318" s="7" t="s">
        <v>754</v>
      </c>
      <c r="U318" s="7" t="s">
        <v>39</v>
      </c>
      <c r="V318" s="7" t="s">
        <v>39</v>
      </c>
      <c r="W318" s="7">
        <v>16.899999999999999</v>
      </c>
      <c r="X318" s="7">
        <v>225</v>
      </c>
      <c r="Y318" s="7">
        <v>200</v>
      </c>
      <c r="Z318" s="7">
        <v>385</v>
      </c>
      <c r="AA318" s="7" t="s">
        <v>40</v>
      </c>
      <c r="AB318" s="7">
        <v>3095</v>
      </c>
      <c r="AC318" s="5">
        <v>1900</v>
      </c>
      <c r="AD318" s="5">
        <v>5260</v>
      </c>
      <c r="AE318" s="5">
        <v>1880</v>
      </c>
      <c r="AF318" s="5">
        <v>3120</v>
      </c>
    </row>
    <row r="319" spans="1:32">
      <c r="A319" s="7" t="s">
        <v>809</v>
      </c>
      <c r="B319" s="7" t="s">
        <v>810</v>
      </c>
      <c r="C319" s="7" t="s">
        <v>810</v>
      </c>
      <c r="D319" s="7" t="s">
        <v>813</v>
      </c>
      <c r="E319" s="7" t="str">
        <f t="shared" si="8"/>
        <v>RIDDARA RD6 2WD (RWD) 73kWh (73.9 kWh)</v>
      </c>
      <c r="F319" s="7" t="s">
        <v>224</v>
      </c>
      <c r="G319" s="7" t="s">
        <v>224</v>
      </c>
      <c r="H319" s="7" t="s">
        <v>36</v>
      </c>
      <c r="I319" s="7" t="s">
        <v>814</v>
      </c>
      <c r="L319" s="7" t="s">
        <v>815</v>
      </c>
      <c r="M319" s="7" t="s">
        <v>91</v>
      </c>
      <c r="N319" s="7" t="s">
        <v>91</v>
      </c>
      <c r="Q319" s="7">
        <v>73.900000000000006</v>
      </c>
      <c r="R319" s="7">
        <v>360</v>
      </c>
      <c r="S319" s="7">
        <v>461</v>
      </c>
      <c r="T319" s="7" t="s">
        <v>754</v>
      </c>
      <c r="U319" s="7" t="s">
        <v>39</v>
      </c>
      <c r="V319" s="7" t="s">
        <v>39</v>
      </c>
      <c r="W319" s="7">
        <v>15.83</v>
      </c>
      <c r="X319" s="7">
        <v>225</v>
      </c>
      <c r="Y319" s="7">
        <v>200</v>
      </c>
      <c r="Z319" s="7">
        <v>385</v>
      </c>
      <c r="AA319" s="7" t="s">
        <v>40</v>
      </c>
      <c r="AB319" s="7">
        <v>3120</v>
      </c>
      <c r="AC319" s="5">
        <v>1900</v>
      </c>
      <c r="AD319" s="5">
        <v>5260</v>
      </c>
      <c r="AE319" s="5">
        <v>1880</v>
      </c>
      <c r="AF319" s="5">
        <v>3120</v>
      </c>
    </row>
    <row r="320" spans="1:32">
      <c r="A320" s="7" t="s">
        <v>809</v>
      </c>
      <c r="B320" s="7" t="s">
        <v>810</v>
      </c>
      <c r="C320" s="7" t="s">
        <v>810</v>
      </c>
      <c r="D320" s="7" t="s">
        <v>816</v>
      </c>
      <c r="E320" s="7" t="str">
        <f t="shared" si="8"/>
        <v>RIDDARA RD6 2WD 86 kWh</v>
      </c>
      <c r="F320" s="7" t="s">
        <v>224</v>
      </c>
      <c r="G320" s="7" t="s">
        <v>224</v>
      </c>
      <c r="H320" s="7" t="s">
        <v>36</v>
      </c>
      <c r="I320" s="7">
        <v>1159000</v>
      </c>
      <c r="L320" s="7" t="s">
        <v>817</v>
      </c>
      <c r="M320" s="7" t="s">
        <v>818</v>
      </c>
      <c r="N320" s="7" t="s">
        <v>818</v>
      </c>
      <c r="Q320" s="7">
        <v>86</v>
      </c>
      <c r="R320" s="7">
        <v>415</v>
      </c>
      <c r="S320" s="7">
        <v>503</v>
      </c>
      <c r="T320" s="7" t="s">
        <v>754</v>
      </c>
      <c r="U320" s="7" t="s">
        <v>92</v>
      </c>
      <c r="V320" s="7" t="s">
        <v>92</v>
      </c>
      <c r="W320" s="7">
        <v>16.5</v>
      </c>
      <c r="X320" s="7">
        <v>225</v>
      </c>
      <c r="Y320" s="7">
        <v>200</v>
      </c>
      <c r="Z320" s="7">
        <v>385</v>
      </c>
      <c r="AA320" s="7" t="s">
        <v>40</v>
      </c>
      <c r="AB320" s="7">
        <v>2845</v>
      </c>
      <c r="AC320" s="5">
        <v>1900</v>
      </c>
      <c r="AD320" s="5">
        <v>5260</v>
      </c>
      <c r="AE320" s="5">
        <v>1880</v>
      </c>
      <c r="AF320" s="5">
        <v>3120</v>
      </c>
    </row>
    <row r="321" spans="1:32">
      <c r="A321" s="7" t="s">
        <v>809</v>
      </c>
      <c r="B321" s="7" t="s">
        <v>810</v>
      </c>
      <c r="C321" s="7" t="s">
        <v>810</v>
      </c>
      <c r="D321" s="7" t="s">
        <v>819</v>
      </c>
      <c r="E321" s="7" t="str">
        <f t="shared" si="8"/>
        <v>RIDDARA RD6 4WD 73kWh</v>
      </c>
      <c r="F321" s="7" t="s">
        <v>224</v>
      </c>
      <c r="G321" s="7" t="s">
        <v>224</v>
      </c>
      <c r="H321" s="7" t="s">
        <v>36</v>
      </c>
      <c r="I321" s="7">
        <v>1149000</v>
      </c>
      <c r="L321" s="7" t="s">
        <v>815</v>
      </c>
      <c r="M321" s="7" t="s">
        <v>91</v>
      </c>
      <c r="N321" s="7" t="s">
        <v>91</v>
      </c>
      <c r="Q321" s="7">
        <v>73.900000000000006</v>
      </c>
      <c r="R321" s="7">
        <v>325</v>
      </c>
      <c r="S321" s="7">
        <v>424</v>
      </c>
      <c r="T321" s="7" t="s">
        <v>754</v>
      </c>
      <c r="U321" s="7" t="s">
        <v>39</v>
      </c>
      <c r="V321" s="7" t="s">
        <v>39</v>
      </c>
      <c r="W321" s="7">
        <v>17.2</v>
      </c>
      <c r="X321" s="7">
        <v>225</v>
      </c>
      <c r="Y321" s="7">
        <v>315</v>
      </c>
      <c r="Z321" s="7" t="s">
        <v>820</v>
      </c>
      <c r="AA321" s="7" t="s">
        <v>40</v>
      </c>
      <c r="AB321" s="7">
        <v>3250</v>
      </c>
      <c r="AC321" s="5">
        <v>1900</v>
      </c>
      <c r="AD321" s="5">
        <v>5260</v>
      </c>
      <c r="AE321" s="5">
        <v>1880</v>
      </c>
      <c r="AF321" s="5">
        <v>3120</v>
      </c>
    </row>
    <row r="322" spans="1:32">
      <c r="A322" s="7" t="s">
        <v>809</v>
      </c>
      <c r="B322" s="7" t="s">
        <v>810</v>
      </c>
      <c r="C322" s="7" t="s">
        <v>810</v>
      </c>
      <c r="D322" s="7" t="s">
        <v>821</v>
      </c>
      <c r="E322" s="7" t="str">
        <f t="shared" si="8"/>
        <v>RIDDARA RD6 4WD 86kWh</v>
      </c>
      <c r="F322" s="7" t="s">
        <v>224</v>
      </c>
      <c r="G322" s="7" t="s">
        <v>224</v>
      </c>
      <c r="H322" s="7" t="s">
        <v>36</v>
      </c>
      <c r="I322" s="7">
        <v>1299000</v>
      </c>
      <c r="L322" s="7" t="s">
        <v>817</v>
      </c>
      <c r="M322" s="7" t="s">
        <v>818</v>
      </c>
      <c r="N322" s="7" t="s">
        <v>818</v>
      </c>
      <c r="Q322" s="7">
        <v>86</v>
      </c>
      <c r="R322" s="7">
        <v>375</v>
      </c>
      <c r="S322" s="7">
        <v>455</v>
      </c>
      <c r="T322" s="7" t="s">
        <v>754</v>
      </c>
      <c r="U322" s="7" t="s">
        <v>92</v>
      </c>
      <c r="V322" s="7" t="s">
        <v>92</v>
      </c>
      <c r="W322" s="7">
        <v>17.5</v>
      </c>
      <c r="X322" s="7">
        <v>225</v>
      </c>
      <c r="Y322" s="7">
        <v>316</v>
      </c>
      <c r="Z322" s="7" t="s">
        <v>820</v>
      </c>
      <c r="AA322" s="7" t="s">
        <v>40</v>
      </c>
      <c r="AB322" s="7">
        <v>3235</v>
      </c>
      <c r="AC322" s="5">
        <v>1900</v>
      </c>
      <c r="AD322" s="5">
        <v>5260</v>
      </c>
      <c r="AE322" s="5">
        <v>1880</v>
      </c>
      <c r="AF322" s="5">
        <v>3120</v>
      </c>
    </row>
    <row r="323" spans="1:32">
      <c r="A323" s="7" t="s">
        <v>809</v>
      </c>
      <c r="B323" s="7" t="s">
        <v>810</v>
      </c>
      <c r="C323" s="7" t="s">
        <v>810</v>
      </c>
      <c r="D323" s="7" t="s">
        <v>822</v>
      </c>
      <c r="E323" s="7" t="str">
        <f t="shared" ref="E323:E336" si="9">A323&amp;" "&amp;C323&amp;" "&amp;D323</f>
        <v>RIDDARA RD6 Econ 2WD 63kWh</v>
      </c>
      <c r="F323" s="7" t="s">
        <v>224</v>
      </c>
      <c r="G323" s="7" t="s">
        <v>224</v>
      </c>
      <c r="H323" s="7" t="s">
        <v>36</v>
      </c>
      <c r="I323" s="7">
        <v>739000</v>
      </c>
      <c r="L323" s="7" t="s">
        <v>812</v>
      </c>
      <c r="M323" s="7" t="s">
        <v>106</v>
      </c>
      <c r="N323" s="7" t="s">
        <v>106</v>
      </c>
      <c r="Q323" s="7">
        <v>63</v>
      </c>
      <c r="R323" s="7">
        <v>315</v>
      </c>
      <c r="S323" s="7">
        <v>373</v>
      </c>
      <c r="T323" s="7" t="s">
        <v>754</v>
      </c>
      <c r="U323" s="7" t="s">
        <v>39</v>
      </c>
      <c r="V323" s="7" t="s">
        <v>39</v>
      </c>
      <c r="W323" s="7">
        <v>16</v>
      </c>
      <c r="X323" s="7">
        <v>225</v>
      </c>
      <c r="Y323" s="7">
        <v>200</v>
      </c>
      <c r="Z323" s="7">
        <v>309</v>
      </c>
      <c r="AA323" s="7" t="s">
        <v>40</v>
      </c>
      <c r="AB323" s="7">
        <v>3095</v>
      </c>
      <c r="AC323" s="5">
        <v>1900</v>
      </c>
      <c r="AD323" s="5">
        <v>5260</v>
      </c>
      <c r="AE323" s="5">
        <v>1880</v>
      </c>
      <c r="AF323" s="5">
        <v>3120</v>
      </c>
    </row>
    <row r="324" spans="1:32">
      <c r="A324" s="7" t="s">
        <v>809</v>
      </c>
      <c r="B324" s="7" t="s">
        <v>810</v>
      </c>
      <c r="C324" s="7" t="s">
        <v>810</v>
      </c>
      <c r="D324" s="7" t="s">
        <v>823</v>
      </c>
      <c r="E324" s="7" t="str">
        <f t="shared" si="9"/>
        <v>RIDDARA RD6 Econ 2WD 74kWh (73.9kWh)</v>
      </c>
      <c r="F324" s="7" t="s">
        <v>224</v>
      </c>
      <c r="G324" s="7" t="s">
        <v>224</v>
      </c>
      <c r="H324" s="7" t="s">
        <v>36</v>
      </c>
      <c r="I324" s="7">
        <v>849000</v>
      </c>
      <c r="L324" s="7" t="s">
        <v>815</v>
      </c>
      <c r="M324" s="7" t="s">
        <v>106</v>
      </c>
      <c r="N324" s="7" t="s">
        <v>106</v>
      </c>
      <c r="Q324" s="7">
        <v>73.900000000000006</v>
      </c>
      <c r="R324" s="7">
        <v>340</v>
      </c>
      <c r="S324" s="7">
        <v>461</v>
      </c>
      <c r="T324" s="7" t="s">
        <v>754</v>
      </c>
      <c r="U324" s="7" t="s">
        <v>39</v>
      </c>
      <c r="V324" s="7" t="s">
        <v>39</v>
      </c>
      <c r="W324" s="7">
        <v>16.5</v>
      </c>
      <c r="X324" s="7">
        <v>225</v>
      </c>
      <c r="Y324" s="7">
        <v>200</v>
      </c>
      <c r="Z324" s="7" t="s">
        <v>824</v>
      </c>
      <c r="AA324" s="7" t="s">
        <v>40</v>
      </c>
      <c r="AB324" s="7">
        <v>3120</v>
      </c>
      <c r="AC324" s="5">
        <v>1900</v>
      </c>
      <c r="AD324" s="5">
        <v>5260</v>
      </c>
      <c r="AE324" s="5">
        <v>1880</v>
      </c>
      <c r="AF324" s="5">
        <v>3120</v>
      </c>
    </row>
    <row r="325" spans="1:32">
      <c r="A325" s="7" t="s">
        <v>809</v>
      </c>
      <c r="B325" s="7" t="s">
        <v>810</v>
      </c>
      <c r="C325" s="7" t="s">
        <v>810</v>
      </c>
      <c r="D325" s="7" t="s">
        <v>825</v>
      </c>
      <c r="E325" s="7" t="str">
        <f t="shared" si="9"/>
        <v>RIDDARA RD6 Econ 4WD 74kWh (73.9kWh)</v>
      </c>
      <c r="F325" s="7" t="s">
        <v>224</v>
      </c>
      <c r="G325" s="7" t="s">
        <v>224</v>
      </c>
      <c r="H325" s="7" t="s">
        <v>36</v>
      </c>
      <c r="I325" s="7">
        <v>999000</v>
      </c>
      <c r="L325" s="7" t="s">
        <v>815</v>
      </c>
      <c r="M325" s="7" t="s">
        <v>106</v>
      </c>
      <c r="N325" s="7" t="s">
        <v>106</v>
      </c>
      <c r="Q325" s="7">
        <v>73.900000000000006</v>
      </c>
      <c r="R325" s="7">
        <v>330</v>
      </c>
      <c r="S325" s="7">
        <v>424</v>
      </c>
      <c r="T325" s="7" t="s">
        <v>754</v>
      </c>
      <c r="U325" s="7" t="s">
        <v>39</v>
      </c>
      <c r="V325" s="7" t="s">
        <v>39</v>
      </c>
      <c r="W325" s="7">
        <v>17.239999999999998</v>
      </c>
      <c r="X325" s="7">
        <v>225</v>
      </c>
      <c r="Y325" s="7">
        <v>315</v>
      </c>
      <c r="Z325" s="7">
        <v>595</v>
      </c>
      <c r="AA325" s="7" t="s">
        <v>40</v>
      </c>
      <c r="AB325" s="7">
        <v>3235</v>
      </c>
      <c r="AC325" s="5">
        <v>1900</v>
      </c>
      <c r="AD325" s="5">
        <v>5260</v>
      </c>
      <c r="AE325" s="5">
        <v>1880</v>
      </c>
      <c r="AF325" s="5">
        <v>3120</v>
      </c>
    </row>
    <row r="326" spans="1:32">
      <c r="A326" s="7" t="s">
        <v>809</v>
      </c>
      <c r="B326" s="7" t="s">
        <v>810</v>
      </c>
      <c r="C326" s="7" t="s">
        <v>810</v>
      </c>
      <c r="D326" s="7" t="s">
        <v>826</v>
      </c>
      <c r="E326" s="7" t="str">
        <f t="shared" si="9"/>
        <v>RIDDARA RD6 4WD 86 kWh Sunroof</v>
      </c>
      <c r="F326" s="7" t="s">
        <v>224</v>
      </c>
      <c r="G326" s="7" t="s">
        <v>224</v>
      </c>
      <c r="H326" s="7" t="s">
        <v>36</v>
      </c>
      <c r="I326" s="7">
        <v>1215000</v>
      </c>
      <c r="L326" s="7" t="s">
        <v>815</v>
      </c>
      <c r="M326" s="7" t="s">
        <v>106</v>
      </c>
      <c r="N326" s="7" t="s">
        <v>106</v>
      </c>
      <c r="Q326" s="7">
        <v>86</v>
      </c>
      <c r="R326" s="7">
        <v>340</v>
      </c>
      <c r="S326" s="7">
        <v>455</v>
      </c>
      <c r="T326" s="7" t="s">
        <v>754</v>
      </c>
      <c r="U326" s="7" t="s">
        <v>92</v>
      </c>
      <c r="V326" s="7" t="s">
        <v>92</v>
      </c>
      <c r="W326" s="7">
        <v>18.899999999999999</v>
      </c>
      <c r="X326" s="7">
        <v>225</v>
      </c>
      <c r="Y326" s="7">
        <v>315</v>
      </c>
      <c r="Z326" s="7">
        <v>595</v>
      </c>
      <c r="AA326" s="7" t="s">
        <v>40</v>
      </c>
      <c r="AB326" s="7">
        <v>3290</v>
      </c>
      <c r="AC326" s="5">
        <v>1900</v>
      </c>
      <c r="AD326" s="5">
        <v>5260</v>
      </c>
      <c r="AE326" s="5">
        <v>1880</v>
      </c>
      <c r="AF326" s="5">
        <v>3120</v>
      </c>
    </row>
    <row r="327" spans="1:32">
      <c r="A327" s="7" t="s">
        <v>827</v>
      </c>
      <c r="B327" s="7" t="s">
        <v>828</v>
      </c>
      <c r="C327" s="7" t="s">
        <v>829</v>
      </c>
      <c r="D327" s="7">
        <v>600</v>
      </c>
      <c r="E327" s="7" t="str">
        <f t="shared" si="9"/>
        <v>LOTUS ELETRE EV 600</v>
      </c>
      <c r="F327" s="10" t="s">
        <v>35</v>
      </c>
      <c r="G327" s="7" t="s">
        <v>35</v>
      </c>
      <c r="H327" s="7" t="s">
        <v>36</v>
      </c>
      <c r="I327" s="11">
        <v>5290000</v>
      </c>
      <c r="L327" s="7" t="s">
        <v>298</v>
      </c>
      <c r="M327" s="7" t="s">
        <v>91</v>
      </c>
      <c r="N327" s="7" t="s">
        <v>91</v>
      </c>
      <c r="Q327" s="7">
        <v>112</v>
      </c>
      <c r="R327" s="7">
        <v>600</v>
      </c>
      <c r="T327" s="7" t="s">
        <v>38</v>
      </c>
      <c r="U327" s="7" t="s">
        <v>92</v>
      </c>
      <c r="V327" s="7" t="s">
        <v>92</v>
      </c>
      <c r="W327" s="7">
        <f t="shared" ref="W327:W335" si="10">(Q327/R327)*100</f>
        <v>18.666666666666668</v>
      </c>
      <c r="X327" s="7">
        <v>194</v>
      </c>
      <c r="Y327" s="7">
        <v>450</v>
      </c>
      <c r="Z327" s="7">
        <v>710</v>
      </c>
      <c r="AA327" s="7" t="s">
        <v>40</v>
      </c>
      <c r="AB327" s="7">
        <v>2490</v>
      </c>
      <c r="AC327" s="5">
        <v>2009</v>
      </c>
      <c r="AD327" s="5">
        <v>5103</v>
      </c>
      <c r="AE327" s="5">
        <v>1630</v>
      </c>
      <c r="AF327" s="5">
        <v>3019</v>
      </c>
    </row>
    <row r="328" spans="1:32">
      <c r="A328" s="7" t="s">
        <v>827</v>
      </c>
      <c r="B328" s="7" t="s">
        <v>830</v>
      </c>
      <c r="C328" s="7" t="s">
        <v>830</v>
      </c>
      <c r="D328" s="7" t="s">
        <v>831</v>
      </c>
      <c r="E328" s="7" t="str">
        <f t="shared" si="9"/>
        <v>LOTUS ELETRE 600 GT SE</v>
      </c>
      <c r="F328" s="10" t="s">
        <v>35</v>
      </c>
      <c r="G328" s="7" t="s">
        <v>35</v>
      </c>
      <c r="H328" s="7" t="s">
        <v>36</v>
      </c>
      <c r="I328" s="11">
        <v>5690000</v>
      </c>
      <c r="L328" s="7" t="s">
        <v>832</v>
      </c>
      <c r="M328" s="7" t="s">
        <v>91</v>
      </c>
      <c r="N328" s="7" t="s">
        <v>91</v>
      </c>
      <c r="Q328" s="7">
        <v>112</v>
      </c>
      <c r="R328" s="7">
        <v>535</v>
      </c>
      <c r="T328" s="7" t="s">
        <v>38</v>
      </c>
      <c r="U328" s="7" t="s">
        <v>92</v>
      </c>
      <c r="V328" s="7" t="s">
        <v>92</v>
      </c>
      <c r="W328" s="7">
        <f t="shared" si="10"/>
        <v>20.934579439252339</v>
      </c>
      <c r="X328" s="7">
        <v>194</v>
      </c>
      <c r="Y328" s="7">
        <v>450</v>
      </c>
      <c r="Z328" s="7">
        <v>710</v>
      </c>
      <c r="AA328" s="7" t="s">
        <v>40</v>
      </c>
      <c r="AB328" s="7">
        <v>2520</v>
      </c>
      <c r="AC328" s="5">
        <v>2009</v>
      </c>
      <c r="AD328" s="5">
        <v>5103</v>
      </c>
      <c r="AE328" s="5">
        <v>1630</v>
      </c>
      <c r="AF328" s="5">
        <v>3019</v>
      </c>
    </row>
    <row r="329" spans="1:32">
      <c r="A329" s="7" t="s">
        <v>827</v>
      </c>
      <c r="B329" s="7" t="s">
        <v>830</v>
      </c>
      <c r="C329" s="7" t="s">
        <v>830</v>
      </c>
      <c r="D329" s="7" t="s">
        <v>833</v>
      </c>
      <c r="E329" s="7" t="str">
        <f t="shared" si="9"/>
        <v>LOTUS ELETRE 600 Sport SE</v>
      </c>
      <c r="F329" s="10" t="s">
        <v>35</v>
      </c>
      <c r="G329" s="7" t="s">
        <v>35</v>
      </c>
      <c r="H329" s="7" t="s">
        <v>36</v>
      </c>
      <c r="I329" s="11">
        <v>6690000</v>
      </c>
      <c r="L329" s="7" t="s">
        <v>832</v>
      </c>
      <c r="M329" s="7" t="s">
        <v>91</v>
      </c>
      <c r="N329" s="7" t="s">
        <v>91</v>
      </c>
      <c r="Q329" s="7">
        <v>112</v>
      </c>
      <c r="R329" s="7">
        <v>530</v>
      </c>
      <c r="T329" s="7" t="s">
        <v>38</v>
      </c>
      <c r="U329" s="7" t="s">
        <v>92</v>
      </c>
      <c r="V329" s="7" t="s">
        <v>92</v>
      </c>
      <c r="W329" s="7">
        <f t="shared" si="10"/>
        <v>21.132075471698116</v>
      </c>
      <c r="X329" s="7">
        <v>194</v>
      </c>
      <c r="Y329" s="7">
        <v>450</v>
      </c>
      <c r="Z329" s="7">
        <v>710</v>
      </c>
      <c r="AA329" s="7" t="s">
        <v>40</v>
      </c>
      <c r="AB329" s="7">
        <v>2525</v>
      </c>
      <c r="AC329" s="5">
        <v>2009</v>
      </c>
      <c r="AD329" s="5">
        <v>5103</v>
      </c>
      <c r="AE329" s="5">
        <v>1630</v>
      </c>
      <c r="AF329" s="5">
        <v>3019</v>
      </c>
    </row>
    <row r="330" spans="1:32">
      <c r="A330" s="7" t="s">
        <v>827</v>
      </c>
      <c r="B330" s="7" t="s">
        <v>830</v>
      </c>
      <c r="C330" s="7" t="s">
        <v>830</v>
      </c>
      <c r="D330" s="7" t="s">
        <v>834</v>
      </c>
      <c r="E330" s="7" t="str">
        <f t="shared" si="9"/>
        <v>LOTUS ELETRE 900 Sport</v>
      </c>
      <c r="F330" s="10" t="s">
        <v>35</v>
      </c>
      <c r="G330" s="7" t="s">
        <v>35</v>
      </c>
      <c r="H330" s="7" t="s">
        <v>36</v>
      </c>
      <c r="I330" s="11">
        <v>7290000</v>
      </c>
      <c r="L330" s="7" t="s">
        <v>832</v>
      </c>
      <c r="M330" s="7" t="s">
        <v>91</v>
      </c>
      <c r="N330" s="7" t="s">
        <v>91</v>
      </c>
      <c r="Q330" s="7">
        <v>112</v>
      </c>
      <c r="R330" s="7">
        <v>490</v>
      </c>
      <c r="T330" s="7" t="s">
        <v>38</v>
      </c>
      <c r="U330" s="7" t="s">
        <v>92</v>
      </c>
      <c r="V330" s="7" t="s">
        <v>92</v>
      </c>
      <c r="W330" s="7">
        <f t="shared" si="10"/>
        <v>22.857142857142858</v>
      </c>
      <c r="X330" s="7">
        <v>194</v>
      </c>
      <c r="Y330" s="7">
        <v>675</v>
      </c>
      <c r="Z330" s="7">
        <v>985</v>
      </c>
      <c r="AA330" s="7" t="s">
        <v>40</v>
      </c>
      <c r="AB330" s="7">
        <v>2640</v>
      </c>
      <c r="AC330" s="5">
        <v>2009</v>
      </c>
      <c r="AD330" s="5">
        <v>5103</v>
      </c>
      <c r="AE330" s="5">
        <v>1630</v>
      </c>
      <c r="AF330" s="5">
        <v>3019</v>
      </c>
    </row>
    <row r="331" spans="1:32">
      <c r="A331" s="7" t="s">
        <v>827</v>
      </c>
      <c r="B331" s="7" t="s">
        <v>830</v>
      </c>
      <c r="C331" s="7" t="s">
        <v>830</v>
      </c>
      <c r="D331" s="7" t="s">
        <v>835</v>
      </c>
      <c r="E331" s="7" t="str">
        <f t="shared" si="9"/>
        <v>LOTUS ELETRE 900 Sport Carbon</v>
      </c>
      <c r="F331" s="10" t="s">
        <v>35</v>
      </c>
      <c r="G331" s="7" t="s">
        <v>35</v>
      </c>
      <c r="H331" s="7" t="s">
        <v>36</v>
      </c>
      <c r="I331" s="11">
        <v>7990000</v>
      </c>
      <c r="L331" s="7" t="s">
        <v>832</v>
      </c>
      <c r="M331" s="7" t="s">
        <v>91</v>
      </c>
      <c r="N331" s="7" t="s">
        <v>91</v>
      </c>
      <c r="Q331" s="7">
        <v>112</v>
      </c>
      <c r="R331" s="7">
        <v>490</v>
      </c>
      <c r="T331" s="7" t="s">
        <v>38</v>
      </c>
      <c r="U331" s="7" t="s">
        <v>92</v>
      </c>
      <c r="V331" s="7" t="s">
        <v>92</v>
      </c>
      <c r="W331" s="7">
        <f t="shared" si="10"/>
        <v>22.857142857142858</v>
      </c>
      <c r="X331" s="7">
        <v>194</v>
      </c>
      <c r="Y331" s="7">
        <v>675</v>
      </c>
      <c r="Z331" s="7">
        <v>985</v>
      </c>
      <c r="AA331" s="7" t="s">
        <v>40</v>
      </c>
      <c r="AB331" s="7">
        <v>2640</v>
      </c>
      <c r="AC331" s="5">
        <v>2009</v>
      </c>
      <c r="AD331" s="5">
        <v>5103</v>
      </c>
      <c r="AE331" s="5">
        <v>1630</v>
      </c>
      <c r="AF331" s="5">
        <v>3019</v>
      </c>
    </row>
    <row r="332" spans="1:32">
      <c r="A332" s="7" t="s">
        <v>827</v>
      </c>
      <c r="B332" s="7" t="s">
        <v>836</v>
      </c>
      <c r="C332" s="7" t="s">
        <v>837</v>
      </c>
      <c r="D332" s="7">
        <v>600</v>
      </c>
      <c r="E332" s="7" t="str">
        <f t="shared" si="9"/>
        <v>LOTUS EMEYA EV 600</v>
      </c>
      <c r="F332" s="10" t="s">
        <v>53</v>
      </c>
      <c r="G332" s="7" t="s">
        <v>838</v>
      </c>
      <c r="H332" s="7" t="s">
        <v>36</v>
      </c>
      <c r="I332" s="11">
        <v>5690000</v>
      </c>
      <c r="L332" s="7" t="s">
        <v>832</v>
      </c>
      <c r="M332" s="7" t="s">
        <v>91</v>
      </c>
      <c r="N332" s="7" t="s">
        <v>91</v>
      </c>
      <c r="Q332" s="7">
        <v>102</v>
      </c>
      <c r="R332" s="7">
        <v>610</v>
      </c>
      <c r="T332" s="7" t="s">
        <v>38</v>
      </c>
      <c r="U332" s="7" t="s">
        <v>92</v>
      </c>
      <c r="V332" s="7" t="s">
        <v>92</v>
      </c>
      <c r="W332" s="7">
        <f t="shared" si="10"/>
        <v>16.721311475409838</v>
      </c>
      <c r="X332" s="7">
        <v>162</v>
      </c>
      <c r="Y332" s="7">
        <v>450</v>
      </c>
      <c r="Z332" s="7">
        <v>710</v>
      </c>
      <c r="AA332" s="7" t="s">
        <v>40</v>
      </c>
      <c r="AB332" s="7">
        <v>2555</v>
      </c>
      <c r="AC332" s="5">
        <v>2005</v>
      </c>
      <c r="AD332" s="5">
        <v>5139</v>
      </c>
      <c r="AE332" s="5">
        <v>1459</v>
      </c>
      <c r="AF332" s="5">
        <v>3069</v>
      </c>
    </row>
    <row r="333" spans="1:32">
      <c r="A333" s="7" t="s">
        <v>827</v>
      </c>
      <c r="B333" s="7" t="s">
        <v>839</v>
      </c>
      <c r="C333" s="7" t="s">
        <v>839</v>
      </c>
      <c r="D333" s="7" t="s">
        <v>833</v>
      </c>
      <c r="E333" s="7" t="str">
        <f t="shared" si="9"/>
        <v>LOTUS EMEYA 600 Sport SE</v>
      </c>
      <c r="F333" s="10" t="s">
        <v>53</v>
      </c>
      <c r="G333" s="7" t="s">
        <v>838</v>
      </c>
      <c r="H333" s="7" t="s">
        <v>36</v>
      </c>
      <c r="I333" s="11">
        <v>6850000</v>
      </c>
      <c r="L333" s="7" t="s">
        <v>832</v>
      </c>
      <c r="M333" s="7" t="s">
        <v>91</v>
      </c>
      <c r="N333" s="7" t="s">
        <v>91</v>
      </c>
      <c r="Q333" s="7">
        <v>102</v>
      </c>
      <c r="R333" s="7">
        <v>610</v>
      </c>
      <c r="T333" s="7" t="s">
        <v>38</v>
      </c>
      <c r="U333" s="7" t="s">
        <v>92</v>
      </c>
      <c r="V333" s="7" t="s">
        <v>92</v>
      </c>
      <c r="W333" s="7">
        <f t="shared" si="10"/>
        <v>16.721311475409838</v>
      </c>
      <c r="X333" s="7">
        <v>162</v>
      </c>
      <c r="Y333" s="7">
        <v>450</v>
      </c>
      <c r="Z333" s="7">
        <v>710</v>
      </c>
      <c r="AA333" s="7" t="s">
        <v>40</v>
      </c>
      <c r="AB333" s="7">
        <v>2560</v>
      </c>
      <c r="AC333" s="5">
        <v>2005</v>
      </c>
      <c r="AD333" s="5">
        <v>5139</v>
      </c>
      <c r="AE333" s="5">
        <v>1459</v>
      </c>
      <c r="AF333" s="5">
        <v>3069</v>
      </c>
    </row>
    <row r="334" spans="1:32">
      <c r="A334" s="7" t="s">
        <v>827</v>
      </c>
      <c r="B334" s="7" t="s">
        <v>839</v>
      </c>
      <c r="C334" s="7" t="s">
        <v>839</v>
      </c>
      <c r="D334" s="7" t="s">
        <v>834</v>
      </c>
      <c r="E334" s="7" t="str">
        <f t="shared" si="9"/>
        <v>LOTUS EMEYA 900 Sport</v>
      </c>
      <c r="F334" s="10" t="s">
        <v>53</v>
      </c>
      <c r="G334" s="7" t="s">
        <v>838</v>
      </c>
      <c r="H334" s="7" t="s">
        <v>36</v>
      </c>
      <c r="I334" s="11">
        <v>7450000</v>
      </c>
      <c r="L334" s="7" t="s">
        <v>832</v>
      </c>
      <c r="M334" s="7" t="s">
        <v>91</v>
      </c>
      <c r="N334" s="7" t="s">
        <v>91</v>
      </c>
      <c r="Q334" s="7">
        <v>102</v>
      </c>
      <c r="R334" s="7">
        <v>540</v>
      </c>
      <c r="T334" s="7" t="s">
        <v>38</v>
      </c>
      <c r="U334" s="7" t="s">
        <v>92</v>
      </c>
      <c r="V334" s="7" t="s">
        <v>92</v>
      </c>
      <c r="W334" s="7">
        <f t="shared" si="10"/>
        <v>18.888888888888889</v>
      </c>
      <c r="X334" s="7">
        <v>162</v>
      </c>
      <c r="Y334" s="7">
        <v>675</v>
      </c>
      <c r="Z334" s="7">
        <v>985</v>
      </c>
      <c r="AA334" s="7" t="s">
        <v>40</v>
      </c>
      <c r="AB334" s="7">
        <v>2565</v>
      </c>
      <c r="AC334" s="5">
        <v>2005</v>
      </c>
      <c r="AD334" s="5">
        <v>5139</v>
      </c>
      <c r="AE334" s="5">
        <v>1459</v>
      </c>
      <c r="AF334" s="5">
        <v>3069</v>
      </c>
    </row>
    <row r="335" spans="1:32">
      <c r="A335" s="7" t="s">
        <v>827</v>
      </c>
      <c r="B335" s="7" t="s">
        <v>839</v>
      </c>
      <c r="C335" s="7" t="s">
        <v>839</v>
      </c>
      <c r="D335" s="7" t="s">
        <v>835</v>
      </c>
      <c r="E335" s="7" t="str">
        <f t="shared" si="9"/>
        <v>LOTUS EMEYA 900 Sport Carbon</v>
      </c>
      <c r="F335" s="10" t="s">
        <v>53</v>
      </c>
      <c r="G335" s="7" t="s">
        <v>838</v>
      </c>
      <c r="H335" s="7" t="s">
        <v>36</v>
      </c>
      <c r="I335" s="11">
        <v>8190000</v>
      </c>
      <c r="L335" s="7" t="s">
        <v>832</v>
      </c>
      <c r="M335" s="7" t="s">
        <v>91</v>
      </c>
      <c r="N335" s="7" t="s">
        <v>91</v>
      </c>
      <c r="Q335" s="7">
        <v>102</v>
      </c>
      <c r="R335" s="7">
        <v>540</v>
      </c>
      <c r="T335" s="7" t="s">
        <v>38</v>
      </c>
      <c r="U335" s="7" t="s">
        <v>92</v>
      </c>
      <c r="V335" s="7" t="s">
        <v>92</v>
      </c>
      <c r="W335" s="7">
        <f t="shared" si="10"/>
        <v>18.888888888888889</v>
      </c>
      <c r="X335" s="7">
        <v>162</v>
      </c>
      <c r="Y335" s="7">
        <v>675</v>
      </c>
      <c r="Z335" s="7">
        <v>985</v>
      </c>
      <c r="AA335" s="7" t="s">
        <v>40</v>
      </c>
      <c r="AB335" s="7">
        <v>2565</v>
      </c>
      <c r="AC335" s="5">
        <v>2005</v>
      </c>
      <c r="AD335" s="5">
        <v>5139</v>
      </c>
      <c r="AE335" s="5">
        <v>1459</v>
      </c>
      <c r="AF335" s="5">
        <v>3069</v>
      </c>
    </row>
    <row r="336" spans="1:32">
      <c r="E336" s="7" t="str">
        <f t="shared" si="9"/>
        <v xml:space="preserve">  </v>
      </c>
    </row>
  </sheetData>
  <autoFilter ref="A1:AB336" xr:uid="{10E62B5B-D8AB-4D18-A34A-A733DF22CF42}"/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33a3b0-30e7-4c9a-99bc-53c308aa7d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48D07DAAB21445B150251765C8D505" ma:contentTypeVersion="5" ma:contentTypeDescription="Create a new document." ma:contentTypeScope="" ma:versionID="2f125c3c6ad2be95a79597ac727acb6e">
  <xsd:schema xmlns:xsd="http://www.w3.org/2001/XMLSchema" xmlns:xs="http://www.w3.org/2001/XMLSchema" xmlns:p="http://schemas.microsoft.com/office/2006/metadata/properties" xmlns:ns3="1c33a3b0-30e7-4c9a-99bc-53c308aa7dd0" targetNamespace="http://schemas.microsoft.com/office/2006/metadata/properties" ma:root="true" ma:fieldsID="b3371cf33fa54e2fa99eefaf36696cd4" ns3:_="">
    <xsd:import namespace="1c33a3b0-30e7-4c9a-99bc-53c308aa7dd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3a3b0-30e7-4c9a-99bc-53c308aa7dd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34CBBA-5369-486A-A0BB-47776A67BC21}"/>
</file>

<file path=customXml/itemProps2.xml><?xml version="1.0" encoding="utf-8"?>
<ds:datastoreItem xmlns:ds="http://schemas.openxmlformats.org/officeDocument/2006/customXml" ds:itemID="{F10F482D-2902-405C-A012-7C704D3F8E26}"/>
</file>

<file path=customXml/itemProps3.xml><?xml version="1.0" encoding="utf-8"?>
<ds:datastoreItem xmlns:ds="http://schemas.openxmlformats.org/officeDocument/2006/customXml" ds:itemID="{5665FC1E-6CA1-4BDE-A24A-F81687C398FD}"/>
</file>

<file path=docMetadata/LabelInfo.xml><?xml version="1.0" encoding="utf-8"?>
<clbl:labelList xmlns:clbl="http://schemas.microsoft.com/office/2020/mipLabelMetadata">
  <clbl:label id="{425f567f-ead0-4482-b0f8-4231b8f1b423}" enabled="0" method="" siteId="{425f567f-ead0-4482-b0f8-4231b8f1b4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Thiyada Saelim</dc:creator>
  <cp:keywords/>
  <dc:description/>
  <cp:lastModifiedBy/>
  <cp:revision/>
  <dcterms:created xsi:type="dcterms:W3CDTF">2026-06-29T09:28:14Z</dcterms:created>
  <dcterms:modified xsi:type="dcterms:W3CDTF">2026-07-14T07:39:24Z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0x0101004E48D07DAAB21445B150251765C8D505</vt:lpwstr>
  </property>
</Properties>
</file>